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rau02999_stthomas_edu/Documents/Documents/"/>
    </mc:Choice>
  </mc:AlternateContent>
  <xr:revisionPtr revIDLastSave="0" documentId="8_{ACC317A0-E88E-4CE5-9FFB-5CA9B61F8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 project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Z3" i="1" s="1"/>
  <c r="AY4" i="1"/>
  <c r="AZ4" i="1" s="1"/>
  <c r="AY5" i="1"/>
  <c r="AZ5" i="1" s="1"/>
  <c r="AY6" i="1"/>
  <c r="AZ6" i="1" s="1"/>
  <c r="AY7" i="1"/>
  <c r="AZ7" i="1" s="1"/>
  <c r="AY8" i="1"/>
  <c r="AZ8" i="1" s="1"/>
  <c r="AY9" i="1"/>
  <c r="AZ9" i="1" s="1"/>
  <c r="AY10" i="1"/>
  <c r="AZ10" i="1" s="1"/>
  <c r="AY11" i="1"/>
  <c r="AZ11" i="1" s="1"/>
  <c r="AY12" i="1"/>
  <c r="AZ12" i="1" s="1"/>
  <c r="AY13" i="1"/>
  <c r="AZ13" i="1" s="1"/>
  <c r="AY14" i="1"/>
  <c r="AZ14" i="1" s="1"/>
  <c r="AY15" i="1"/>
  <c r="AZ15" i="1" s="1"/>
  <c r="AY16" i="1"/>
  <c r="AZ16" i="1" s="1"/>
  <c r="AY17" i="1"/>
  <c r="AZ17" i="1" s="1"/>
  <c r="AY18" i="1"/>
  <c r="AZ18" i="1" s="1"/>
  <c r="AY19" i="1"/>
  <c r="AZ19" i="1" s="1"/>
  <c r="AY20" i="1"/>
  <c r="AZ20" i="1" s="1"/>
  <c r="AY21" i="1"/>
  <c r="AZ21" i="1" s="1"/>
  <c r="AY22" i="1"/>
  <c r="AZ22" i="1" s="1"/>
  <c r="AY23" i="1"/>
  <c r="AZ23" i="1" s="1"/>
  <c r="AY24" i="1"/>
  <c r="AZ24" i="1" s="1"/>
  <c r="AY25" i="1"/>
  <c r="AZ25" i="1" s="1"/>
  <c r="AY26" i="1"/>
  <c r="AZ26" i="1" s="1"/>
  <c r="AY27" i="1"/>
  <c r="AZ27" i="1" s="1"/>
  <c r="AY28" i="1"/>
  <c r="AZ28" i="1" s="1"/>
  <c r="AY29" i="1"/>
  <c r="AZ29" i="1" s="1"/>
  <c r="AY30" i="1"/>
  <c r="AZ30" i="1" s="1"/>
  <c r="AY31" i="1"/>
  <c r="AZ31" i="1" s="1"/>
  <c r="AY32" i="1"/>
  <c r="AZ32" i="1" s="1"/>
  <c r="AY33" i="1"/>
  <c r="AZ33" i="1" s="1"/>
  <c r="AY34" i="1"/>
  <c r="AZ34" i="1" s="1"/>
  <c r="AY35" i="1"/>
  <c r="AZ35" i="1" s="1"/>
  <c r="AY36" i="1"/>
  <c r="AZ36" i="1" s="1"/>
  <c r="AY37" i="1"/>
  <c r="AZ37" i="1" s="1"/>
  <c r="AY38" i="1"/>
  <c r="AZ38" i="1" s="1"/>
  <c r="AY39" i="1"/>
  <c r="AZ39" i="1" s="1"/>
  <c r="AY40" i="1"/>
  <c r="AZ40" i="1" s="1"/>
  <c r="AY41" i="1"/>
  <c r="AZ41" i="1" s="1"/>
  <c r="AY42" i="1"/>
  <c r="AZ42" i="1" s="1"/>
  <c r="AY43" i="1"/>
  <c r="AZ43" i="1" s="1"/>
  <c r="AY44" i="1"/>
  <c r="AZ44" i="1" s="1"/>
  <c r="AY45" i="1"/>
  <c r="AZ45" i="1" s="1"/>
  <c r="AY46" i="1"/>
  <c r="AZ46" i="1" s="1"/>
  <c r="AY47" i="1"/>
  <c r="AZ47" i="1" s="1"/>
  <c r="AY48" i="1"/>
  <c r="AZ48" i="1" s="1"/>
  <c r="AY49" i="1"/>
  <c r="AZ49" i="1" s="1"/>
  <c r="AY50" i="1"/>
  <c r="AZ50" i="1" s="1"/>
  <c r="AY51" i="1"/>
  <c r="AZ51" i="1" s="1"/>
  <c r="AY52" i="1"/>
  <c r="AZ52" i="1" s="1"/>
  <c r="AY53" i="1"/>
  <c r="AZ53" i="1" s="1"/>
  <c r="AY54" i="1"/>
  <c r="AZ54" i="1" s="1"/>
  <c r="AY55" i="1"/>
  <c r="AZ55" i="1" s="1"/>
  <c r="AY56" i="1"/>
  <c r="AZ56" i="1" s="1"/>
  <c r="AY57" i="1"/>
  <c r="AZ57" i="1" s="1"/>
  <c r="AY58" i="1"/>
  <c r="AZ58" i="1" s="1"/>
  <c r="AY59" i="1"/>
  <c r="AZ59" i="1" s="1"/>
  <c r="AY60" i="1"/>
  <c r="AZ60" i="1" s="1"/>
  <c r="AY61" i="1"/>
  <c r="AZ61" i="1" s="1"/>
  <c r="AY62" i="1"/>
  <c r="AZ62" i="1" s="1"/>
  <c r="AY63" i="1"/>
  <c r="AZ63" i="1" s="1"/>
  <c r="AY64" i="1"/>
  <c r="AZ64" i="1" s="1"/>
  <c r="AY65" i="1"/>
  <c r="AZ65" i="1" s="1"/>
  <c r="AY66" i="1"/>
  <c r="AZ66" i="1" s="1"/>
  <c r="AY67" i="1"/>
  <c r="AZ67" i="1" s="1"/>
  <c r="AY68" i="1"/>
  <c r="AZ68" i="1" s="1"/>
  <c r="AY69" i="1"/>
  <c r="AZ69" i="1" s="1"/>
  <c r="AY70" i="1"/>
  <c r="AZ70" i="1" s="1"/>
  <c r="AY71" i="1"/>
  <c r="AZ71" i="1" s="1"/>
  <c r="AY72" i="1"/>
  <c r="AZ72" i="1" s="1"/>
  <c r="AY73" i="1"/>
  <c r="AZ73" i="1" s="1"/>
  <c r="AY74" i="1"/>
  <c r="AZ74" i="1" s="1"/>
  <c r="AY75" i="1"/>
  <c r="AZ75" i="1" s="1"/>
  <c r="AY76" i="1"/>
  <c r="AZ76" i="1" s="1"/>
  <c r="AY77" i="1"/>
  <c r="AZ77" i="1" s="1"/>
  <c r="AY78" i="1"/>
  <c r="AZ78" i="1" s="1"/>
  <c r="AY79" i="1"/>
  <c r="AZ79" i="1" s="1"/>
  <c r="AY80" i="1"/>
  <c r="AZ80" i="1" s="1"/>
  <c r="AY81" i="1"/>
  <c r="AZ81" i="1" s="1"/>
  <c r="AY82" i="1"/>
  <c r="AZ82" i="1" s="1"/>
  <c r="AY83" i="1"/>
  <c r="AZ83" i="1" s="1"/>
  <c r="AY84" i="1"/>
  <c r="AZ84" i="1" s="1"/>
  <c r="AY85" i="1"/>
  <c r="AZ85" i="1" s="1"/>
  <c r="AY86" i="1"/>
  <c r="AZ86" i="1" s="1"/>
  <c r="AY87" i="1"/>
  <c r="AZ87" i="1" s="1"/>
  <c r="AY88" i="1"/>
  <c r="AZ88" i="1" s="1"/>
  <c r="AY89" i="1"/>
  <c r="AZ89" i="1" s="1"/>
  <c r="AY90" i="1"/>
  <c r="AZ90" i="1" s="1"/>
  <c r="AY91" i="1"/>
  <c r="AZ91" i="1" s="1"/>
  <c r="AY92" i="1"/>
  <c r="AZ92" i="1" s="1"/>
  <c r="AY93" i="1"/>
  <c r="AZ93" i="1" s="1"/>
  <c r="AY94" i="1"/>
  <c r="AZ94" i="1" s="1"/>
  <c r="AY95" i="1"/>
  <c r="AZ95" i="1" s="1"/>
  <c r="AY96" i="1"/>
  <c r="AZ96" i="1" s="1"/>
  <c r="AY97" i="1"/>
  <c r="AZ97" i="1" s="1"/>
  <c r="AY98" i="1"/>
  <c r="AZ98" i="1" s="1"/>
  <c r="AY99" i="1"/>
  <c r="AZ99" i="1" s="1"/>
  <c r="AY100" i="1"/>
  <c r="AZ100" i="1" s="1"/>
  <c r="AY101" i="1"/>
  <c r="AZ101" i="1" s="1"/>
  <c r="AY102" i="1"/>
  <c r="AZ102" i="1" s="1"/>
  <c r="AY103" i="1"/>
  <c r="AZ103" i="1" s="1"/>
  <c r="AY104" i="1"/>
  <c r="AZ104" i="1" s="1"/>
  <c r="AY105" i="1"/>
  <c r="AZ105" i="1" s="1"/>
  <c r="AY106" i="1"/>
  <c r="AZ106" i="1" s="1"/>
  <c r="AY107" i="1"/>
  <c r="AZ107" i="1" s="1"/>
  <c r="AY108" i="1"/>
  <c r="AZ108" i="1" s="1"/>
  <c r="AY109" i="1"/>
  <c r="AZ109" i="1" s="1"/>
  <c r="AY110" i="1"/>
  <c r="AZ110" i="1" s="1"/>
  <c r="AY111" i="1"/>
  <c r="AZ111" i="1" s="1"/>
  <c r="AY112" i="1"/>
  <c r="AZ112" i="1" s="1"/>
  <c r="AY113" i="1"/>
  <c r="AZ113" i="1" s="1"/>
  <c r="AY114" i="1"/>
  <c r="AZ114" i="1" s="1"/>
  <c r="AY115" i="1"/>
  <c r="AZ115" i="1" s="1"/>
  <c r="AY116" i="1"/>
  <c r="AZ116" i="1" s="1"/>
  <c r="AY117" i="1"/>
  <c r="AZ117" i="1" s="1"/>
  <c r="AY118" i="1"/>
  <c r="AZ118" i="1" s="1"/>
  <c r="AY119" i="1"/>
  <c r="AZ119" i="1" s="1"/>
  <c r="AY120" i="1"/>
  <c r="AZ120" i="1" s="1"/>
  <c r="AY121" i="1"/>
  <c r="AZ121" i="1" s="1"/>
  <c r="AY122" i="1"/>
  <c r="AZ122" i="1" s="1"/>
  <c r="AY123" i="1"/>
  <c r="AZ123" i="1" s="1"/>
  <c r="AY124" i="1"/>
  <c r="AZ124" i="1" s="1"/>
  <c r="AY125" i="1"/>
  <c r="AZ125" i="1" s="1"/>
  <c r="AY126" i="1"/>
  <c r="AZ126" i="1" s="1"/>
  <c r="AY127" i="1"/>
  <c r="AZ127" i="1" s="1"/>
  <c r="AY128" i="1"/>
  <c r="AZ128" i="1" s="1"/>
  <c r="AY129" i="1"/>
  <c r="AZ129" i="1" s="1"/>
  <c r="AY130" i="1"/>
  <c r="AZ130" i="1" s="1"/>
  <c r="AY131" i="1"/>
  <c r="AZ131" i="1" s="1"/>
  <c r="AY132" i="1"/>
  <c r="AZ132" i="1" s="1"/>
  <c r="AY2" i="1"/>
  <c r="AZ2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2" i="1"/>
  <c r="E3" i="1"/>
</calcChain>
</file>

<file path=xl/sharedStrings.xml><?xml version="1.0" encoding="utf-8"?>
<sst xmlns="http://schemas.openxmlformats.org/spreadsheetml/2006/main" count="183" uniqueCount="183">
  <si>
    <t>Team</t>
  </si>
  <si>
    <t>Games</t>
  </si>
  <si>
    <t>Wins</t>
  </si>
  <si>
    <t>Losses</t>
  </si>
  <si>
    <t>winPer</t>
  </si>
  <si>
    <t>Total_Points</t>
  </si>
  <si>
    <t>Points_Per_Game</t>
  </si>
  <si>
    <t>Points_Allowed</t>
  </si>
  <si>
    <t>Avg_Points_per_Game_Allowed</t>
  </si>
  <si>
    <t>Off_Yards</t>
  </si>
  <si>
    <t>Off_Yards/Play</t>
  </si>
  <si>
    <t>Off_TDs</t>
  </si>
  <si>
    <t>Off_Yards_per_Game</t>
  </si>
  <si>
    <t>Yards_Allowed</t>
  </si>
  <si>
    <t>Yards/Play_Allowed</t>
  </si>
  <si>
    <t>Off_TDs_Allowed</t>
  </si>
  <si>
    <t>Total_TDs_Allowed</t>
  </si>
  <si>
    <t>Yards_Per_Game_Allowed</t>
  </si>
  <si>
    <t>Penalties</t>
  </si>
  <si>
    <t>Penalty_Yards</t>
  </si>
  <si>
    <t>Penalty_Yards_Per_Game</t>
  </si>
  <si>
    <t>Pass_Yards/Attempt</t>
  </si>
  <si>
    <t>Yards/Completion</t>
  </si>
  <si>
    <t>Pass_Yards_Per_Game</t>
  </si>
  <si>
    <t>Yards/Attempt_Allowed</t>
  </si>
  <si>
    <t>Yards/Completion_Allowed</t>
  </si>
  <si>
    <t>Pass_Yards_Per_Game_Allowed</t>
  </si>
  <si>
    <t>Rushing_Def_Rank</t>
  </si>
  <si>
    <t>Opp_Rush_Attempts</t>
  </si>
  <si>
    <t>Opp_Rush_Yards_Alloweed</t>
  </si>
  <si>
    <t>Yds/Rush_Allowed</t>
  </si>
  <si>
    <t>Opp_Rush_Touchdowns_Allowed</t>
  </si>
  <si>
    <t>Rush_Yards_Per_Game_Allowed</t>
  </si>
  <si>
    <t>Rushing_Off_Rank</t>
  </si>
  <si>
    <t>Rush_Attempts</t>
  </si>
  <si>
    <t>Rush_Yds</t>
  </si>
  <si>
    <t>Yards/Rush</t>
  </si>
  <si>
    <t>Rushing_Yards_per_Game</t>
  </si>
  <si>
    <t>Touchdowns_Allowed</t>
  </si>
  <si>
    <t>Opp_Field_Goals_Made</t>
  </si>
  <si>
    <t>Touchdowns</t>
  </si>
  <si>
    <t>Field_Goals</t>
  </si>
  <si>
    <t>Sacks</t>
  </si>
  <si>
    <t>Sack_Yards</t>
  </si>
  <si>
    <t>Average_Sacks_per_Game</t>
  </si>
  <si>
    <t>Tackle_for_Loss_Yards</t>
  </si>
  <si>
    <t>Total_Tackle_For_Loss</t>
  </si>
  <si>
    <t>Tackle_For_Loss_Per_Game</t>
  </si>
  <si>
    <t>Turnovers_Gain</t>
  </si>
  <si>
    <t>Turnovers_Lost</t>
  </si>
  <si>
    <t>Turnover_Margin</t>
  </si>
  <si>
    <t>Avg_Turnover_Margin_per_Game</t>
  </si>
  <si>
    <t>Tennessee_(SEC)</t>
  </si>
  <si>
    <t>Washington_(Pac/12)</t>
  </si>
  <si>
    <t>Southern_California_(Pac/12)</t>
  </si>
  <si>
    <t>UCLA_(Pac/12)</t>
  </si>
  <si>
    <t>Georgia_(SEC)</t>
  </si>
  <si>
    <t>Oregon_(Pac/12)</t>
  </si>
  <si>
    <t>Western_Ky._(C/USA)</t>
  </si>
  <si>
    <t>Ole_Miss_(SEC)</t>
  </si>
  <si>
    <t>Ohio_St._(Big_Ten)</t>
  </si>
  <si>
    <t>Florida_St._(ACC)</t>
  </si>
  <si>
    <t>Alabama_(SEC)</t>
  </si>
  <si>
    <t>UTSA_(C/USA)</t>
  </si>
  <si>
    <t>Oklahoma_(Big_12)</t>
  </si>
  <si>
    <t>SMU_(AAC)</t>
  </si>
  <si>
    <t>Arkansas_(SEC)</t>
  </si>
  <si>
    <t>UCF_(AAC)</t>
  </si>
  <si>
    <t>Utah_(Pac/12)</t>
  </si>
  <si>
    <t>Ga._Southern_(Sun_Belt)</t>
  </si>
  <si>
    <t>North_Carolina_(ACC)</t>
  </si>
  <si>
    <t>Arizona_(Pac/12)</t>
  </si>
  <si>
    <t>North_Texas_(C/USA)</t>
  </si>
  <si>
    <t>Texas_Tech_(Big_12)</t>
  </si>
  <si>
    <t>East_Carolina_(AAC)</t>
  </si>
  <si>
    <t>Michigan_(Big_Ten)</t>
  </si>
  <si>
    <t>Houston_(AAC)</t>
  </si>
  <si>
    <t>App_State_(Sun_Belt)</t>
  </si>
  <si>
    <t>TCU_(Big_12)</t>
  </si>
  <si>
    <t>LSU_(SEC)</t>
  </si>
  <si>
    <t>James_Madison_(Sun_Belt)</t>
  </si>
  <si>
    <t>Wake_Forest_(ACC)</t>
  </si>
  <si>
    <t>Tulane_(AAC)</t>
  </si>
  <si>
    <t>Kansas_(Big_12)</t>
  </si>
  <si>
    <t>UAB_(C/USA)</t>
  </si>
  <si>
    <t>Penn_St._(Big_Ten)</t>
  </si>
  <si>
    <t>Texas_(Big_12)</t>
  </si>
  <si>
    <t>BYU_(FBS_Independent)</t>
  </si>
  <si>
    <t>Florida_(SEC)</t>
  </si>
  <si>
    <t>South_Alabama_(Sun_Belt)</t>
  </si>
  <si>
    <t>Memphis_(AAC)</t>
  </si>
  <si>
    <t>Ohio_(MAC)</t>
  </si>
  <si>
    <t>Kansas_St._(Big_12)</t>
  </si>
  <si>
    <t>Kent_St._(MAC)</t>
  </si>
  <si>
    <t>Georgia_St._(Sun_Belt)</t>
  </si>
  <si>
    <t>Duke_(ACC)</t>
  </si>
  <si>
    <t>Baylor_(Big_12)</t>
  </si>
  <si>
    <t>Tulsa_(AAC)</t>
  </si>
  <si>
    <t>Fla._Atlantic_(C/USA)</t>
  </si>
  <si>
    <t>Clemson_(ACC)</t>
  </si>
  <si>
    <t>Louisville_(ACC)</t>
  </si>
  <si>
    <t>Pittsburgh_(ACC)</t>
  </si>
  <si>
    <t>Coastal_Carolina_(Sun_Belt)</t>
  </si>
  <si>
    <t>Oklahoma_St._(Big_12)</t>
  </si>
  <si>
    <t>Fresno_St._(Mountain_West)</t>
  </si>
  <si>
    <t>Toledo_(MAC)</t>
  </si>
  <si>
    <t>Maryland_(Big_Ten)</t>
  </si>
  <si>
    <t>Purdue_(Big_Ten)</t>
  </si>
  <si>
    <t>West_Virginia_(Big_12)</t>
  </si>
  <si>
    <t>Marshall_(Sun_Belt)</t>
  </si>
  <si>
    <t>Air_Force_(Mountain_West)</t>
  </si>
  <si>
    <t>Notre_Dame_(FBS_Independent)</t>
  </si>
  <si>
    <t>Oregon_St._(Pac/12)</t>
  </si>
  <si>
    <t>Mississippi_St._(SEC)</t>
  </si>
  <si>
    <t>Louisiana_Tech_(C/USA)</t>
  </si>
  <si>
    <t>South_Fla._(AAC)</t>
  </si>
  <si>
    <t>Minnesota_(Big_Ten)</t>
  </si>
  <si>
    <t>Liberty_(FBS_Independent)</t>
  </si>
  <si>
    <t>Arizona_St._(Pac/12)</t>
  </si>
  <si>
    <t>Charlotte_(C/USA)</t>
  </si>
  <si>
    <t>Boise_St._(Mountain_West)</t>
  </si>
  <si>
    <t>UTEP_(C/USA)</t>
  </si>
  <si>
    <t>Ball_St._(MAC)</t>
  </si>
  <si>
    <t>Illinois_(Big_Ten)</t>
  </si>
  <si>
    <t>South_Carolina_(SEC)</t>
  </si>
  <si>
    <t>Auburn_(SEC)</t>
  </si>
  <si>
    <t>Buffalo_(MAC)</t>
  </si>
  <si>
    <t>Syracuse_(ACC)</t>
  </si>
  <si>
    <t>Rice_(C/USA)</t>
  </si>
  <si>
    <t>Middle_Tenn._(C/USA)</t>
  </si>
  <si>
    <t>NIU_(MAC)</t>
  </si>
  <si>
    <t>Akron_(MAC)</t>
  </si>
  <si>
    <t>Cincinnati_(AAC)</t>
  </si>
  <si>
    <t>Missouri_(SEC)</t>
  </si>
  <si>
    <t>Iowa_St._(Big_12)</t>
  </si>
  <si>
    <t>San_Jose_St._(Mountain_West)</t>
  </si>
  <si>
    <t>Central_Mich._(MAC)</t>
  </si>
  <si>
    <t>Miami_(FL)_(ACC)</t>
  </si>
  <si>
    <t>Army_West_Point_(FBS_Independent)</t>
  </si>
  <si>
    <t>Eastern_Mich._(MAC)</t>
  </si>
  <si>
    <t>California_(Pac/12)</t>
  </si>
  <si>
    <t>Louisiana_(Sun_Belt)</t>
  </si>
  <si>
    <t>Wisconsin_(Big_Ten)</t>
  </si>
  <si>
    <t>Stanford_(Pac/12)</t>
  </si>
  <si>
    <t>Texas_A&amp;M_(SEC)</t>
  </si>
  <si>
    <t>Washington_St._(Pac/12)</t>
  </si>
  <si>
    <t>Troy_(Sun_Belt)</t>
  </si>
  <si>
    <t>Utah_St._(Mountain_West)</t>
  </si>
  <si>
    <t>Michigan_St._(Big_Ten)</t>
  </si>
  <si>
    <t>UNLV_(Mountain_West)</t>
  </si>
  <si>
    <t>Temple_(AAC)</t>
  </si>
  <si>
    <t>Southern_Miss._(Sun_Belt)</t>
  </si>
  <si>
    <t>Vanderbilt_(SEC)</t>
  </si>
  <si>
    <t>Nebraska_(Big_Ten)</t>
  </si>
  <si>
    <t>Virginia_(ACC)</t>
  </si>
  <si>
    <t>Hawaii_(Mountain_West)</t>
  </si>
  <si>
    <t>NC_State_(ACC)</t>
  </si>
  <si>
    <t>Old_Dominion_(Sun_Belt)</t>
  </si>
  <si>
    <t>Northwestern_(Big_Ten)</t>
  </si>
  <si>
    <t>Bowling_Green_(MAC)</t>
  </si>
  <si>
    <t>New_Mexico_St._(FBS_Independent)</t>
  </si>
  <si>
    <t>Indiana_(Big_Ten)</t>
  </si>
  <si>
    <t>Navy_(AAC)</t>
  </si>
  <si>
    <t>ULM_(Sun_Belt)</t>
  </si>
  <si>
    <t>Texas_St._(Sun_Belt)</t>
  </si>
  <si>
    <t>San_Diego_St._(Mountain_West)</t>
  </si>
  <si>
    <t>Georgia_Tech_(ACC)</t>
  </si>
  <si>
    <t>Kentucky_(SEC)</t>
  </si>
  <si>
    <t>FIU_(C/USA)</t>
  </si>
  <si>
    <t>Arkansas_St._(Sun_Belt)</t>
  </si>
  <si>
    <t>Wyoming_(Mountain_West)</t>
  </si>
  <si>
    <t>Virginia_Tech_(ACC)</t>
  </si>
  <si>
    <t>Boston_College_(ACC)</t>
  </si>
  <si>
    <t>Miami_(OH)_(MAC)</t>
  </si>
  <si>
    <t>Nevada_(Mountain_West)</t>
  </si>
  <si>
    <t>UConn_(FBS_Independent)</t>
  </si>
  <si>
    <t>Western_Mich._(MAC)</t>
  </si>
  <si>
    <t>Colorado_St._(Mountain_West)</t>
  </si>
  <si>
    <t>Rutgers_(Big_Ten)</t>
  </si>
  <si>
    <t>Colorado_(Pac/12)</t>
  </si>
  <si>
    <t>Massachusetts_(FBS_Independent)</t>
  </si>
  <si>
    <t>Iowa_(Big_Ten)</t>
  </si>
  <si>
    <t>New_Mexico_(Mountain_West)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</si>
</sst>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2"/>
  <sheetViews>
    <sheetView tabSelected="1" topLeftCell="I1" workbookViewId="0">
      <selection activeCell="AW1" sqref="AW1"/>
    </sheetView>
  </sheetViews>
  <sheetFormatPr defaultRowHeight="15"/>
  <cols>
    <col min="3" max="3" width="10.42578125" style="3" bestFit="1" customWidth="1"/>
    <col min="40" max="40" width="9.140625" bestFit="1" customWidth="1"/>
  </cols>
  <sheetData>
    <row r="1" spans="1:5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>
        <v>13</v>
      </c>
      <c r="C2" s="2">
        <v>11</v>
      </c>
      <c r="D2" s="2">
        <v>2</v>
      </c>
      <c r="E2" s="2">
        <f>C2/B2</f>
        <v>0.84615384615384615</v>
      </c>
      <c r="F2">
        <v>599</v>
      </c>
      <c r="G2">
        <v>46.1</v>
      </c>
      <c r="H2">
        <v>296</v>
      </c>
      <c r="I2">
        <v>22.8</v>
      </c>
      <c r="J2">
        <v>6832</v>
      </c>
      <c r="K2">
        <v>7.23</v>
      </c>
      <c r="L2">
        <v>78</v>
      </c>
      <c r="M2">
        <v>525.5</v>
      </c>
      <c r="N2">
        <v>5269</v>
      </c>
      <c r="O2">
        <v>5.32</v>
      </c>
      <c r="P2">
        <v>36</v>
      </c>
      <c r="Q2">
        <v>37</v>
      </c>
      <c r="R2">
        <v>405.3</v>
      </c>
      <c r="S2">
        <v>105</v>
      </c>
      <c r="T2">
        <v>905</v>
      </c>
      <c r="U2">
        <v>69.62</v>
      </c>
      <c r="V2">
        <v>10.050000000000001</v>
      </c>
      <c r="W2">
        <v>14.62</v>
      </c>
      <c r="X2">
        <v>326.10000000000002</v>
      </c>
      <c r="Y2">
        <v>7.08</v>
      </c>
      <c r="Z2">
        <v>11.3</v>
      </c>
      <c r="AA2">
        <v>289.5</v>
      </c>
      <c r="AB2">
        <v>21</v>
      </c>
      <c r="AC2">
        <v>459</v>
      </c>
      <c r="AD2">
        <v>1505</v>
      </c>
      <c r="AE2">
        <v>3.28</v>
      </c>
      <c r="AF2">
        <v>15</v>
      </c>
      <c r="AG2">
        <v>115.8</v>
      </c>
      <c r="AH2">
        <v>26</v>
      </c>
      <c r="AI2">
        <v>523</v>
      </c>
      <c r="AJ2">
        <v>2593</v>
      </c>
      <c r="AK2">
        <v>4.96</v>
      </c>
      <c r="AL2">
        <v>199.5</v>
      </c>
      <c r="AM2">
        <v>37</v>
      </c>
      <c r="AN2">
        <v>13</v>
      </c>
      <c r="AO2">
        <v>79</v>
      </c>
      <c r="AP2">
        <v>16</v>
      </c>
      <c r="AQ2">
        <v>27</v>
      </c>
      <c r="AR2">
        <v>138</v>
      </c>
      <c r="AS2">
        <v>2.08</v>
      </c>
      <c r="AT2">
        <v>377</v>
      </c>
      <c r="AU2">
        <v>94</v>
      </c>
      <c r="AV2">
        <v>7.2</v>
      </c>
      <c r="AW2">
        <v>22</v>
      </c>
      <c r="AX2">
        <v>11</v>
      </c>
      <c r="AY2">
        <f>AW2-AX2</f>
        <v>11</v>
      </c>
      <c r="AZ2">
        <f>AY2/B2</f>
        <v>0.84615384615384615</v>
      </c>
    </row>
    <row r="3" spans="1:52">
      <c r="A3" t="s">
        <v>53</v>
      </c>
      <c r="B3">
        <v>13</v>
      </c>
      <c r="C3" s="2">
        <v>11</v>
      </c>
      <c r="D3" s="2">
        <v>2</v>
      </c>
      <c r="E3" s="2">
        <f>C3/B3</f>
        <v>0.84615384615384615</v>
      </c>
      <c r="F3">
        <v>516</v>
      </c>
      <c r="G3">
        <v>39.700000000000003</v>
      </c>
      <c r="H3">
        <v>336</v>
      </c>
      <c r="I3">
        <v>25.8</v>
      </c>
      <c r="J3">
        <v>6705</v>
      </c>
      <c r="K3">
        <v>6.88</v>
      </c>
      <c r="L3">
        <v>65</v>
      </c>
      <c r="M3">
        <v>515.79999999999995</v>
      </c>
      <c r="N3">
        <v>4845</v>
      </c>
      <c r="O3">
        <v>5.59</v>
      </c>
      <c r="P3">
        <v>40</v>
      </c>
      <c r="Q3">
        <v>42</v>
      </c>
      <c r="R3">
        <v>372.7</v>
      </c>
      <c r="S3">
        <v>89</v>
      </c>
      <c r="T3">
        <v>786</v>
      </c>
      <c r="U3">
        <v>60.46</v>
      </c>
      <c r="V3">
        <v>8.36</v>
      </c>
      <c r="W3">
        <v>12.89</v>
      </c>
      <c r="X3">
        <v>369.8</v>
      </c>
      <c r="Y3">
        <v>7.82</v>
      </c>
      <c r="Z3">
        <v>12.43</v>
      </c>
      <c r="AA3">
        <v>251.5</v>
      </c>
      <c r="AB3">
        <v>26</v>
      </c>
      <c r="AC3">
        <v>448</v>
      </c>
      <c r="AD3">
        <v>1576</v>
      </c>
      <c r="AE3">
        <v>3.52</v>
      </c>
      <c r="AF3">
        <v>14</v>
      </c>
      <c r="AG3">
        <v>121.2</v>
      </c>
      <c r="AH3">
        <v>69</v>
      </c>
      <c r="AI3">
        <v>400</v>
      </c>
      <c r="AJ3">
        <v>1898</v>
      </c>
      <c r="AK3">
        <v>4.74</v>
      </c>
      <c r="AL3">
        <v>146</v>
      </c>
      <c r="AM3">
        <v>42</v>
      </c>
      <c r="AN3">
        <v>13</v>
      </c>
      <c r="AO3">
        <v>65</v>
      </c>
      <c r="AP3">
        <v>19</v>
      </c>
      <c r="AQ3">
        <v>7</v>
      </c>
      <c r="AR3">
        <v>54</v>
      </c>
      <c r="AS3">
        <v>0.54</v>
      </c>
      <c r="AT3">
        <v>318</v>
      </c>
      <c r="AU3">
        <v>70</v>
      </c>
      <c r="AV3">
        <v>5.4</v>
      </c>
      <c r="AW3">
        <v>12</v>
      </c>
      <c r="AX3">
        <v>11</v>
      </c>
      <c r="AY3">
        <f t="shared" ref="AY3:AY66" si="0">AW3-AX3</f>
        <v>1</v>
      </c>
      <c r="AZ3">
        <f>AY3/B3</f>
        <v>7.6923076923076927E-2</v>
      </c>
    </row>
    <row r="4" spans="1:52">
      <c r="A4" t="s">
        <v>54</v>
      </c>
      <c r="B4">
        <v>14</v>
      </c>
      <c r="C4" s="2">
        <v>11</v>
      </c>
      <c r="D4" s="2">
        <v>3</v>
      </c>
      <c r="E4" s="2">
        <f t="shared" ref="E4:E67" si="1">C4/B4</f>
        <v>0.7857142857142857</v>
      </c>
      <c r="F4">
        <v>579</v>
      </c>
      <c r="G4">
        <v>41.4</v>
      </c>
      <c r="H4">
        <v>409</v>
      </c>
      <c r="I4">
        <v>29.2</v>
      </c>
      <c r="J4">
        <v>7092</v>
      </c>
      <c r="K4">
        <v>7.18</v>
      </c>
      <c r="L4">
        <v>73</v>
      </c>
      <c r="M4">
        <v>506.6</v>
      </c>
      <c r="N4">
        <v>5935</v>
      </c>
      <c r="O4">
        <v>6.53</v>
      </c>
      <c r="P4">
        <v>54</v>
      </c>
      <c r="Q4">
        <v>54</v>
      </c>
      <c r="R4">
        <v>423.9</v>
      </c>
      <c r="S4">
        <v>88</v>
      </c>
      <c r="T4">
        <v>812</v>
      </c>
      <c r="U4">
        <v>58</v>
      </c>
      <c r="V4">
        <v>9.1199999999999992</v>
      </c>
      <c r="W4">
        <v>13.61</v>
      </c>
      <c r="X4">
        <v>335.4</v>
      </c>
      <c r="Y4">
        <v>8.0399999999999991</v>
      </c>
      <c r="Z4">
        <v>12.62</v>
      </c>
      <c r="AA4">
        <v>264.10000000000002</v>
      </c>
      <c r="AB4">
        <v>80</v>
      </c>
      <c r="AC4">
        <v>449</v>
      </c>
      <c r="AD4">
        <v>2237</v>
      </c>
      <c r="AE4">
        <v>4.9800000000000004</v>
      </c>
      <c r="AF4">
        <v>29</v>
      </c>
      <c r="AG4">
        <v>159.80000000000001</v>
      </c>
      <c r="AH4">
        <v>53</v>
      </c>
      <c r="AI4">
        <v>473</v>
      </c>
      <c r="AJ4">
        <v>2396</v>
      </c>
      <c r="AK4">
        <v>5.07</v>
      </c>
      <c r="AL4">
        <v>171.1</v>
      </c>
      <c r="AM4">
        <v>54</v>
      </c>
      <c r="AN4">
        <v>10</v>
      </c>
      <c r="AO4">
        <v>76</v>
      </c>
      <c r="AP4">
        <v>15</v>
      </c>
      <c r="AQ4">
        <v>30</v>
      </c>
      <c r="AR4">
        <v>247</v>
      </c>
      <c r="AS4">
        <v>2.14</v>
      </c>
      <c r="AT4">
        <v>371</v>
      </c>
      <c r="AU4">
        <v>79</v>
      </c>
      <c r="AV4">
        <v>5.6</v>
      </c>
      <c r="AW4">
        <v>29</v>
      </c>
      <c r="AX4">
        <v>7</v>
      </c>
      <c r="AY4">
        <f t="shared" si="0"/>
        <v>22</v>
      </c>
      <c r="AZ4">
        <f>AY4/B4</f>
        <v>1.5714285714285714</v>
      </c>
    </row>
    <row r="5" spans="1:52">
      <c r="A5" t="s">
        <v>55</v>
      </c>
      <c r="B5">
        <v>13</v>
      </c>
      <c r="C5" s="2">
        <v>9</v>
      </c>
      <c r="D5" s="2">
        <v>4</v>
      </c>
      <c r="E5" s="2">
        <f t="shared" si="1"/>
        <v>0.69230769230769229</v>
      </c>
      <c r="F5">
        <v>510</v>
      </c>
      <c r="G5">
        <v>39.200000000000003</v>
      </c>
      <c r="H5">
        <v>377</v>
      </c>
      <c r="I5">
        <v>29</v>
      </c>
      <c r="J5">
        <v>6547</v>
      </c>
      <c r="K5">
        <v>7.01</v>
      </c>
      <c r="L5">
        <v>65</v>
      </c>
      <c r="M5">
        <v>503.6</v>
      </c>
      <c r="N5">
        <v>5243</v>
      </c>
      <c r="O5">
        <v>5.64</v>
      </c>
      <c r="P5">
        <v>43</v>
      </c>
      <c r="Q5">
        <v>45</v>
      </c>
      <c r="R5">
        <v>403.3</v>
      </c>
      <c r="S5">
        <v>84</v>
      </c>
      <c r="T5">
        <v>682</v>
      </c>
      <c r="U5">
        <v>52.46</v>
      </c>
      <c r="V5">
        <v>8.25</v>
      </c>
      <c r="W5">
        <v>11.86</v>
      </c>
      <c r="X5">
        <v>266.39999999999998</v>
      </c>
      <c r="Y5">
        <v>7.3</v>
      </c>
      <c r="Z5">
        <v>11.16</v>
      </c>
      <c r="AA5">
        <v>273</v>
      </c>
      <c r="AB5">
        <v>35</v>
      </c>
      <c r="AC5">
        <v>444</v>
      </c>
      <c r="AD5">
        <v>1689</v>
      </c>
      <c r="AE5">
        <v>3.8</v>
      </c>
      <c r="AF5">
        <v>18</v>
      </c>
      <c r="AG5">
        <v>129.9</v>
      </c>
      <c r="AH5">
        <v>6</v>
      </c>
      <c r="AI5">
        <v>514</v>
      </c>
      <c r="AJ5">
        <v>3084</v>
      </c>
      <c r="AK5">
        <v>6</v>
      </c>
      <c r="AL5">
        <v>237.2</v>
      </c>
      <c r="AM5">
        <v>45</v>
      </c>
      <c r="AN5">
        <v>19</v>
      </c>
      <c r="AO5">
        <v>66</v>
      </c>
      <c r="AP5">
        <v>15</v>
      </c>
      <c r="AQ5">
        <v>19</v>
      </c>
      <c r="AR5">
        <v>123</v>
      </c>
      <c r="AS5">
        <v>1.46</v>
      </c>
      <c r="AT5">
        <v>269</v>
      </c>
      <c r="AU5">
        <v>60</v>
      </c>
      <c r="AV5">
        <v>4.5999999999999996</v>
      </c>
      <c r="AW5">
        <v>18</v>
      </c>
      <c r="AX5">
        <v>21</v>
      </c>
      <c r="AY5">
        <f t="shared" si="0"/>
        <v>-3</v>
      </c>
      <c r="AZ5">
        <f>AY5/B5</f>
        <v>-0.23076923076923078</v>
      </c>
    </row>
    <row r="6" spans="1:52">
      <c r="A6" t="s">
        <v>56</v>
      </c>
      <c r="B6">
        <v>15</v>
      </c>
      <c r="C6" s="2">
        <v>15</v>
      </c>
      <c r="D6" s="2">
        <v>0</v>
      </c>
      <c r="E6" s="2">
        <f t="shared" si="1"/>
        <v>1</v>
      </c>
      <c r="F6">
        <v>616</v>
      </c>
      <c r="G6">
        <v>41.1</v>
      </c>
      <c r="H6">
        <v>214</v>
      </c>
      <c r="I6">
        <v>14.3</v>
      </c>
      <c r="J6">
        <v>7517</v>
      </c>
      <c r="K6">
        <v>7.17</v>
      </c>
      <c r="L6">
        <v>75</v>
      </c>
      <c r="M6">
        <v>501.1</v>
      </c>
      <c r="N6">
        <v>4452</v>
      </c>
      <c r="O6">
        <v>4.88</v>
      </c>
      <c r="P6">
        <v>22</v>
      </c>
      <c r="Q6">
        <v>23</v>
      </c>
      <c r="R6">
        <v>296.8</v>
      </c>
      <c r="S6">
        <v>66</v>
      </c>
      <c r="T6">
        <v>673</v>
      </c>
      <c r="U6">
        <v>44.87</v>
      </c>
      <c r="V6">
        <v>9.02</v>
      </c>
      <c r="W6">
        <v>13.21</v>
      </c>
      <c r="X6">
        <v>295.8</v>
      </c>
      <c r="Y6">
        <v>6.45</v>
      </c>
      <c r="Z6">
        <v>11.21</v>
      </c>
      <c r="AA6">
        <v>219.7</v>
      </c>
      <c r="AB6">
        <v>1</v>
      </c>
      <c r="AC6">
        <v>401</v>
      </c>
      <c r="AD6">
        <v>1156</v>
      </c>
      <c r="AE6">
        <v>2.88</v>
      </c>
      <c r="AF6">
        <v>7</v>
      </c>
      <c r="AG6">
        <v>77.099999999999994</v>
      </c>
      <c r="AH6">
        <v>19</v>
      </c>
      <c r="AI6">
        <v>557</v>
      </c>
      <c r="AJ6">
        <v>3080</v>
      </c>
      <c r="AK6">
        <v>5.53</v>
      </c>
      <c r="AL6">
        <v>205.3</v>
      </c>
      <c r="AM6">
        <v>23</v>
      </c>
      <c r="AN6">
        <v>19</v>
      </c>
      <c r="AO6">
        <v>76</v>
      </c>
      <c r="AP6">
        <v>27</v>
      </c>
      <c r="AQ6">
        <v>9</v>
      </c>
      <c r="AR6">
        <v>67</v>
      </c>
      <c r="AS6">
        <v>0.6</v>
      </c>
      <c r="AT6">
        <v>377</v>
      </c>
      <c r="AU6">
        <v>91</v>
      </c>
      <c r="AV6">
        <v>6.1</v>
      </c>
      <c r="AW6">
        <v>19</v>
      </c>
      <c r="AX6">
        <v>18</v>
      </c>
      <c r="AY6">
        <f t="shared" si="0"/>
        <v>1</v>
      </c>
      <c r="AZ6">
        <f>AY6/B6</f>
        <v>6.6666666666666666E-2</v>
      </c>
    </row>
    <row r="7" spans="1:52">
      <c r="A7" t="s">
        <v>57</v>
      </c>
      <c r="B7">
        <v>13</v>
      </c>
      <c r="C7" s="2">
        <v>10</v>
      </c>
      <c r="D7" s="2">
        <v>3</v>
      </c>
      <c r="E7" s="2">
        <f t="shared" si="1"/>
        <v>0.76923076923076927</v>
      </c>
      <c r="F7">
        <v>504</v>
      </c>
      <c r="G7">
        <v>38.799999999999997</v>
      </c>
      <c r="H7">
        <v>356</v>
      </c>
      <c r="I7">
        <v>27.4</v>
      </c>
      <c r="J7">
        <v>6507</v>
      </c>
      <c r="K7">
        <v>6.92</v>
      </c>
      <c r="L7">
        <v>64</v>
      </c>
      <c r="M7">
        <v>500.5</v>
      </c>
      <c r="N7">
        <v>4955</v>
      </c>
      <c r="O7">
        <v>5.8</v>
      </c>
      <c r="P7">
        <v>41</v>
      </c>
      <c r="Q7">
        <v>43</v>
      </c>
      <c r="R7">
        <v>381.2</v>
      </c>
      <c r="S7">
        <v>88</v>
      </c>
      <c r="T7">
        <v>744</v>
      </c>
      <c r="U7">
        <v>57.23</v>
      </c>
      <c r="V7">
        <v>8.57</v>
      </c>
      <c r="W7">
        <v>12.02</v>
      </c>
      <c r="X7">
        <v>284.8</v>
      </c>
      <c r="Y7">
        <v>7.14</v>
      </c>
      <c r="Z7">
        <v>11.22</v>
      </c>
      <c r="AA7">
        <v>256.39999999999998</v>
      </c>
      <c r="AB7">
        <v>30</v>
      </c>
      <c r="AC7">
        <v>388</v>
      </c>
      <c r="AD7">
        <v>1622</v>
      </c>
      <c r="AE7">
        <v>4.18</v>
      </c>
      <c r="AF7">
        <v>17</v>
      </c>
      <c r="AG7">
        <v>124.8</v>
      </c>
      <c r="AH7">
        <v>12</v>
      </c>
      <c r="AI7">
        <v>508</v>
      </c>
      <c r="AJ7">
        <v>2805</v>
      </c>
      <c r="AK7">
        <v>5.52</v>
      </c>
      <c r="AL7">
        <v>215.8</v>
      </c>
      <c r="AM7">
        <v>43</v>
      </c>
      <c r="AN7">
        <v>19</v>
      </c>
      <c r="AO7">
        <v>66</v>
      </c>
      <c r="AP7">
        <v>14</v>
      </c>
      <c r="AQ7">
        <v>5</v>
      </c>
      <c r="AR7">
        <v>24</v>
      </c>
      <c r="AS7">
        <v>0.38</v>
      </c>
      <c r="AT7">
        <v>234</v>
      </c>
      <c r="AU7">
        <v>53</v>
      </c>
      <c r="AV7">
        <v>4.0999999999999996</v>
      </c>
      <c r="AW7">
        <v>21</v>
      </c>
      <c r="AX7">
        <v>12</v>
      </c>
      <c r="AY7">
        <f t="shared" si="0"/>
        <v>9</v>
      </c>
      <c r="AZ7">
        <f>AY7/B7</f>
        <v>0.69230769230769229</v>
      </c>
    </row>
    <row r="8" spans="1:52">
      <c r="A8" t="s">
        <v>58</v>
      </c>
      <c r="B8">
        <v>14</v>
      </c>
      <c r="C8" s="2">
        <v>9</v>
      </c>
      <c r="D8" s="2">
        <v>5</v>
      </c>
      <c r="E8" s="2">
        <f t="shared" si="1"/>
        <v>0.6428571428571429</v>
      </c>
      <c r="F8">
        <v>510</v>
      </c>
      <c r="G8">
        <v>36.4</v>
      </c>
      <c r="H8">
        <v>328</v>
      </c>
      <c r="I8">
        <v>23.4</v>
      </c>
      <c r="J8">
        <v>6962</v>
      </c>
      <c r="K8">
        <v>6.71</v>
      </c>
      <c r="L8">
        <v>58</v>
      </c>
      <c r="M8">
        <v>497.3</v>
      </c>
      <c r="N8">
        <v>5372</v>
      </c>
      <c r="O8">
        <v>5.24</v>
      </c>
      <c r="P8">
        <v>38</v>
      </c>
      <c r="Q8">
        <v>39</v>
      </c>
      <c r="R8">
        <v>383.7</v>
      </c>
      <c r="S8">
        <v>87</v>
      </c>
      <c r="T8">
        <v>805</v>
      </c>
      <c r="U8">
        <v>57.5</v>
      </c>
      <c r="V8">
        <v>7.91</v>
      </c>
      <c r="W8">
        <v>12.3</v>
      </c>
      <c r="X8">
        <v>352.2</v>
      </c>
      <c r="Y8">
        <v>6.64</v>
      </c>
      <c r="Z8">
        <v>10.66</v>
      </c>
      <c r="AA8">
        <v>236.1</v>
      </c>
      <c r="AB8">
        <v>61</v>
      </c>
      <c r="AC8">
        <v>527</v>
      </c>
      <c r="AD8">
        <v>2067</v>
      </c>
      <c r="AE8">
        <v>3.92</v>
      </c>
      <c r="AF8">
        <v>17</v>
      </c>
      <c r="AG8">
        <v>147.6</v>
      </c>
      <c r="AH8">
        <v>70</v>
      </c>
      <c r="AI8">
        <v>414</v>
      </c>
      <c r="AJ8">
        <v>2031</v>
      </c>
      <c r="AK8">
        <v>4.91</v>
      </c>
      <c r="AL8">
        <v>145.1</v>
      </c>
      <c r="AM8">
        <v>39</v>
      </c>
      <c r="AN8">
        <v>19</v>
      </c>
      <c r="AO8">
        <v>65</v>
      </c>
      <c r="AP8">
        <v>18</v>
      </c>
      <c r="AQ8">
        <v>14</v>
      </c>
      <c r="AR8">
        <v>92</v>
      </c>
      <c r="AS8">
        <v>1</v>
      </c>
      <c r="AT8">
        <v>301</v>
      </c>
      <c r="AU8">
        <v>70</v>
      </c>
      <c r="AV8">
        <v>5</v>
      </c>
      <c r="AW8">
        <v>32</v>
      </c>
      <c r="AX8">
        <v>22</v>
      </c>
      <c r="AY8">
        <f t="shared" si="0"/>
        <v>10</v>
      </c>
      <c r="AZ8">
        <f>AY8/B8</f>
        <v>0.7142857142857143</v>
      </c>
    </row>
    <row r="9" spans="1:52">
      <c r="A9" t="s">
        <v>59</v>
      </c>
      <c r="B9">
        <v>13</v>
      </c>
      <c r="C9" s="2">
        <v>8</v>
      </c>
      <c r="D9" s="2">
        <v>5</v>
      </c>
      <c r="E9" s="2">
        <f t="shared" si="1"/>
        <v>0.61538461538461542</v>
      </c>
      <c r="F9">
        <v>435</v>
      </c>
      <c r="G9">
        <v>33.5</v>
      </c>
      <c r="H9">
        <v>332</v>
      </c>
      <c r="I9">
        <v>25.5</v>
      </c>
      <c r="J9">
        <v>6453</v>
      </c>
      <c r="K9">
        <v>6.45</v>
      </c>
      <c r="L9">
        <v>55</v>
      </c>
      <c r="M9">
        <v>496.4</v>
      </c>
      <c r="N9">
        <v>5042</v>
      </c>
      <c r="O9">
        <v>5.32</v>
      </c>
      <c r="P9">
        <v>40</v>
      </c>
      <c r="Q9">
        <v>41</v>
      </c>
      <c r="R9">
        <v>387.8</v>
      </c>
      <c r="S9">
        <v>89</v>
      </c>
      <c r="T9">
        <v>826</v>
      </c>
      <c r="U9">
        <v>63.54</v>
      </c>
      <c r="V9">
        <v>8.0500000000000007</v>
      </c>
      <c r="W9">
        <v>13.04</v>
      </c>
      <c r="X9">
        <v>239.8</v>
      </c>
      <c r="Y9">
        <v>6.63</v>
      </c>
      <c r="Z9">
        <v>10.43</v>
      </c>
      <c r="AA9">
        <v>219.8</v>
      </c>
      <c r="AB9">
        <v>89</v>
      </c>
      <c r="AC9">
        <v>516</v>
      </c>
      <c r="AD9">
        <v>2184</v>
      </c>
      <c r="AE9">
        <v>4.2300000000000004</v>
      </c>
      <c r="AF9">
        <v>18</v>
      </c>
      <c r="AG9">
        <v>168</v>
      </c>
      <c r="AH9">
        <v>3</v>
      </c>
      <c r="AI9">
        <v>614</v>
      </c>
      <c r="AJ9">
        <v>3336</v>
      </c>
      <c r="AK9">
        <v>5.43</v>
      </c>
      <c r="AL9">
        <v>256.60000000000002</v>
      </c>
      <c r="AM9">
        <v>41</v>
      </c>
      <c r="AN9">
        <v>16</v>
      </c>
      <c r="AO9">
        <v>56</v>
      </c>
      <c r="AP9">
        <v>15</v>
      </c>
      <c r="AQ9">
        <v>16</v>
      </c>
      <c r="AR9">
        <v>104</v>
      </c>
      <c r="AS9">
        <v>1.23</v>
      </c>
      <c r="AT9">
        <v>360</v>
      </c>
      <c r="AU9">
        <v>81</v>
      </c>
      <c r="AV9">
        <v>6.2</v>
      </c>
      <c r="AW9">
        <v>20</v>
      </c>
      <c r="AX9">
        <v>21</v>
      </c>
      <c r="AY9">
        <f t="shared" si="0"/>
        <v>-1</v>
      </c>
      <c r="AZ9">
        <f>AY9/B9</f>
        <v>-7.6923076923076927E-2</v>
      </c>
    </row>
    <row r="10" spans="1:52">
      <c r="A10" t="s">
        <v>60</v>
      </c>
      <c r="B10">
        <v>13</v>
      </c>
      <c r="C10" s="2">
        <v>11</v>
      </c>
      <c r="D10" s="2">
        <v>2</v>
      </c>
      <c r="E10" s="2">
        <f t="shared" si="1"/>
        <v>0.84615384615384615</v>
      </c>
      <c r="F10">
        <v>575</v>
      </c>
      <c r="G10">
        <v>44.2</v>
      </c>
      <c r="H10">
        <v>273</v>
      </c>
      <c r="I10">
        <v>21</v>
      </c>
      <c r="J10">
        <v>6379</v>
      </c>
      <c r="K10">
        <v>7.28</v>
      </c>
      <c r="L10">
        <v>72</v>
      </c>
      <c r="M10">
        <v>490.7</v>
      </c>
      <c r="N10">
        <v>4180</v>
      </c>
      <c r="O10">
        <v>5.18</v>
      </c>
      <c r="P10">
        <v>31</v>
      </c>
      <c r="Q10">
        <v>33</v>
      </c>
      <c r="R10">
        <v>321.5</v>
      </c>
      <c r="S10">
        <v>73</v>
      </c>
      <c r="T10">
        <v>624</v>
      </c>
      <c r="U10">
        <v>48</v>
      </c>
      <c r="V10">
        <v>9.4600000000000009</v>
      </c>
      <c r="W10">
        <v>14.15</v>
      </c>
      <c r="X10">
        <v>298.3</v>
      </c>
      <c r="Y10">
        <v>7.24</v>
      </c>
      <c r="Z10">
        <v>12.29</v>
      </c>
      <c r="AA10">
        <v>200.5</v>
      </c>
      <c r="AB10">
        <v>25</v>
      </c>
      <c r="AC10">
        <v>447</v>
      </c>
      <c r="AD10">
        <v>1574</v>
      </c>
      <c r="AE10">
        <v>3.52</v>
      </c>
      <c r="AF10">
        <v>12</v>
      </c>
      <c r="AG10">
        <v>121.1</v>
      </c>
      <c r="AH10">
        <v>32</v>
      </c>
      <c r="AI10">
        <v>466</v>
      </c>
      <c r="AJ10">
        <v>2501</v>
      </c>
      <c r="AK10">
        <v>5.37</v>
      </c>
      <c r="AL10">
        <v>192.4</v>
      </c>
      <c r="AM10">
        <v>33</v>
      </c>
      <c r="AN10">
        <v>13</v>
      </c>
      <c r="AO10">
        <v>75</v>
      </c>
      <c r="AP10">
        <v>17</v>
      </c>
      <c r="AQ10">
        <v>12</v>
      </c>
      <c r="AR10">
        <v>82</v>
      </c>
      <c r="AS10">
        <v>0.92</v>
      </c>
      <c r="AT10">
        <v>334</v>
      </c>
      <c r="AU10">
        <v>86</v>
      </c>
      <c r="AV10">
        <v>6.6</v>
      </c>
      <c r="AW10">
        <v>18</v>
      </c>
      <c r="AX10">
        <v>10</v>
      </c>
      <c r="AY10">
        <f t="shared" si="0"/>
        <v>8</v>
      </c>
      <c r="AZ10">
        <f>AY10/B10</f>
        <v>0.61538461538461542</v>
      </c>
    </row>
    <row r="11" spans="1:52">
      <c r="A11" t="s">
        <v>61</v>
      </c>
      <c r="B11">
        <v>13</v>
      </c>
      <c r="C11" s="2">
        <v>10</v>
      </c>
      <c r="D11" s="2">
        <v>3</v>
      </c>
      <c r="E11" s="2">
        <f t="shared" si="1"/>
        <v>0.76923076923076927</v>
      </c>
      <c r="F11">
        <v>469</v>
      </c>
      <c r="G11">
        <v>36.1</v>
      </c>
      <c r="H11">
        <v>268</v>
      </c>
      <c r="I11">
        <v>20.6</v>
      </c>
      <c r="J11">
        <v>6295</v>
      </c>
      <c r="K11">
        <v>6.96</v>
      </c>
      <c r="L11">
        <v>61</v>
      </c>
      <c r="M11">
        <v>484.2</v>
      </c>
      <c r="N11">
        <v>4183</v>
      </c>
      <c r="O11">
        <v>4.8499999999999996</v>
      </c>
      <c r="P11">
        <v>32</v>
      </c>
      <c r="Q11">
        <v>32</v>
      </c>
      <c r="R11">
        <v>321.8</v>
      </c>
      <c r="S11">
        <v>87</v>
      </c>
      <c r="T11">
        <v>768</v>
      </c>
      <c r="U11">
        <v>59.08</v>
      </c>
      <c r="V11">
        <v>8.89</v>
      </c>
      <c r="W11">
        <v>14.1</v>
      </c>
      <c r="X11">
        <v>270.2</v>
      </c>
      <c r="Y11">
        <v>6.16</v>
      </c>
      <c r="Z11">
        <v>10.91</v>
      </c>
      <c r="AA11">
        <v>165.4</v>
      </c>
      <c r="AB11">
        <v>75</v>
      </c>
      <c r="AC11">
        <v>514</v>
      </c>
      <c r="AD11">
        <v>2033</v>
      </c>
      <c r="AE11">
        <v>3.96</v>
      </c>
      <c r="AF11">
        <v>14</v>
      </c>
      <c r="AG11">
        <v>156.4</v>
      </c>
      <c r="AH11">
        <v>13</v>
      </c>
      <c r="AI11">
        <v>509</v>
      </c>
      <c r="AJ11">
        <v>2783</v>
      </c>
      <c r="AK11">
        <v>5.47</v>
      </c>
      <c r="AL11">
        <v>214.1</v>
      </c>
      <c r="AM11">
        <v>32</v>
      </c>
      <c r="AN11">
        <v>15</v>
      </c>
      <c r="AO11">
        <v>62</v>
      </c>
      <c r="AP11">
        <v>12</v>
      </c>
      <c r="AQ11">
        <v>20</v>
      </c>
      <c r="AR11">
        <v>148</v>
      </c>
      <c r="AS11">
        <v>1.54</v>
      </c>
      <c r="AT11">
        <v>343</v>
      </c>
      <c r="AU11">
        <v>84</v>
      </c>
      <c r="AV11">
        <v>6.5</v>
      </c>
      <c r="AW11">
        <v>16</v>
      </c>
      <c r="AX11">
        <v>14</v>
      </c>
      <c r="AY11">
        <f t="shared" si="0"/>
        <v>2</v>
      </c>
      <c r="AZ11">
        <f>AY11/B11</f>
        <v>0.15384615384615385</v>
      </c>
    </row>
    <row r="12" spans="1:52">
      <c r="A12" t="s">
        <v>62</v>
      </c>
      <c r="B12">
        <v>13</v>
      </c>
      <c r="C12" s="2">
        <v>11</v>
      </c>
      <c r="D12" s="2">
        <v>2</v>
      </c>
      <c r="E12" s="2">
        <f t="shared" si="1"/>
        <v>0.84615384615384615</v>
      </c>
      <c r="F12">
        <v>534</v>
      </c>
      <c r="G12">
        <v>41.1</v>
      </c>
      <c r="H12">
        <v>236</v>
      </c>
      <c r="I12">
        <v>18.2</v>
      </c>
      <c r="J12">
        <v>6202</v>
      </c>
      <c r="K12">
        <v>6.92</v>
      </c>
      <c r="L12">
        <v>63</v>
      </c>
      <c r="M12">
        <v>477.1</v>
      </c>
      <c r="N12">
        <v>4137</v>
      </c>
      <c r="O12">
        <v>4.59</v>
      </c>
      <c r="P12">
        <v>27</v>
      </c>
      <c r="Q12">
        <v>27</v>
      </c>
      <c r="R12">
        <v>318.2</v>
      </c>
      <c r="S12">
        <v>103</v>
      </c>
      <c r="T12">
        <v>893</v>
      </c>
      <c r="U12">
        <v>68.69</v>
      </c>
      <c r="V12">
        <v>8.36</v>
      </c>
      <c r="W12">
        <v>13.07</v>
      </c>
      <c r="X12">
        <v>281.5</v>
      </c>
      <c r="Y12">
        <v>5.63</v>
      </c>
      <c r="Z12">
        <v>10.26</v>
      </c>
      <c r="AA12">
        <v>187.8</v>
      </c>
      <c r="AB12">
        <v>36</v>
      </c>
      <c r="AC12">
        <v>466</v>
      </c>
      <c r="AD12">
        <v>1695</v>
      </c>
      <c r="AE12">
        <v>3.64</v>
      </c>
      <c r="AF12">
        <v>15</v>
      </c>
      <c r="AG12">
        <v>130.4</v>
      </c>
      <c r="AH12">
        <v>30</v>
      </c>
      <c r="AI12">
        <v>458</v>
      </c>
      <c r="AJ12">
        <v>2542</v>
      </c>
      <c r="AK12">
        <v>5.55</v>
      </c>
      <c r="AL12">
        <v>195.5</v>
      </c>
      <c r="AM12">
        <v>27</v>
      </c>
      <c r="AN12">
        <v>16</v>
      </c>
      <c r="AO12">
        <v>67</v>
      </c>
      <c r="AP12">
        <v>22</v>
      </c>
      <c r="AQ12">
        <v>22</v>
      </c>
      <c r="AR12">
        <v>153</v>
      </c>
      <c r="AS12">
        <v>1.69</v>
      </c>
      <c r="AT12">
        <v>368</v>
      </c>
      <c r="AU12">
        <v>90</v>
      </c>
      <c r="AV12">
        <v>6.9</v>
      </c>
      <c r="AW12">
        <v>14</v>
      </c>
      <c r="AX12">
        <v>16</v>
      </c>
      <c r="AY12">
        <f t="shared" si="0"/>
        <v>-2</v>
      </c>
      <c r="AZ12">
        <f>AY12/B12</f>
        <v>-0.15384615384615385</v>
      </c>
    </row>
    <row r="13" spans="1:52">
      <c r="A13" t="s">
        <v>63</v>
      </c>
      <c r="B13">
        <v>14</v>
      </c>
      <c r="C13" s="2">
        <v>11</v>
      </c>
      <c r="D13" s="2">
        <v>3</v>
      </c>
      <c r="E13" s="2">
        <f t="shared" si="1"/>
        <v>0.7857142857142857</v>
      </c>
      <c r="F13">
        <v>515</v>
      </c>
      <c r="G13">
        <v>36.799999999999997</v>
      </c>
      <c r="H13">
        <v>363</v>
      </c>
      <c r="I13">
        <v>25.9</v>
      </c>
      <c r="J13">
        <v>6664</v>
      </c>
      <c r="K13">
        <v>6.37</v>
      </c>
      <c r="L13">
        <v>62</v>
      </c>
      <c r="M13">
        <v>476</v>
      </c>
      <c r="N13">
        <v>5421</v>
      </c>
      <c r="O13">
        <v>5.55</v>
      </c>
      <c r="P13">
        <v>42</v>
      </c>
      <c r="Q13">
        <v>44</v>
      </c>
      <c r="R13">
        <v>387.2</v>
      </c>
      <c r="S13">
        <v>98</v>
      </c>
      <c r="T13">
        <v>861</v>
      </c>
      <c r="U13">
        <v>61.5</v>
      </c>
      <c r="V13">
        <v>8.3699999999999992</v>
      </c>
      <c r="W13">
        <v>12.35</v>
      </c>
      <c r="X13">
        <v>300.7</v>
      </c>
      <c r="Y13">
        <v>7.22</v>
      </c>
      <c r="Z13">
        <v>12.48</v>
      </c>
      <c r="AA13">
        <v>243.4</v>
      </c>
      <c r="AB13">
        <v>59</v>
      </c>
      <c r="AC13">
        <v>505</v>
      </c>
      <c r="AD13">
        <v>2013</v>
      </c>
      <c r="AE13">
        <v>3.99</v>
      </c>
      <c r="AF13">
        <v>21</v>
      </c>
      <c r="AG13">
        <v>143.80000000000001</v>
      </c>
      <c r="AH13">
        <v>50</v>
      </c>
      <c r="AI13">
        <v>543</v>
      </c>
      <c r="AJ13">
        <v>2454</v>
      </c>
      <c r="AK13">
        <v>4.5199999999999996</v>
      </c>
      <c r="AL13">
        <v>175.3</v>
      </c>
      <c r="AM13">
        <v>44</v>
      </c>
      <c r="AN13">
        <v>17</v>
      </c>
      <c r="AO13">
        <v>64</v>
      </c>
      <c r="AP13">
        <v>22</v>
      </c>
      <c r="AQ13">
        <v>26</v>
      </c>
      <c r="AR13">
        <v>169</v>
      </c>
      <c r="AS13">
        <v>1.86</v>
      </c>
      <c r="AT13">
        <v>315</v>
      </c>
      <c r="AU13">
        <v>92</v>
      </c>
      <c r="AV13">
        <v>6.6</v>
      </c>
      <c r="AW13">
        <v>22</v>
      </c>
      <c r="AX13">
        <v>20</v>
      </c>
      <c r="AY13">
        <f t="shared" si="0"/>
        <v>2</v>
      </c>
      <c r="AZ13">
        <f>AY13/B13</f>
        <v>0.14285714285714285</v>
      </c>
    </row>
    <row r="14" spans="1:52">
      <c r="A14" t="s">
        <v>64</v>
      </c>
      <c r="B14">
        <v>13</v>
      </c>
      <c r="C14" s="2">
        <v>6</v>
      </c>
      <c r="D14" s="2">
        <v>7</v>
      </c>
      <c r="E14" s="2">
        <f t="shared" si="1"/>
        <v>0.46153846153846156</v>
      </c>
      <c r="F14">
        <v>427</v>
      </c>
      <c r="G14">
        <v>32.799999999999997</v>
      </c>
      <c r="H14">
        <v>390</v>
      </c>
      <c r="I14">
        <v>30</v>
      </c>
      <c r="J14">
        <v>6162</v>
      </c>
      <c r="K14">
        <v>6.24</v>
      </c>
      <c r="L14">
        <v>55</v>
      </c>
      <c r="M14">
        <v>474</v>
      </c>
      <c r="N14">
        <v>5993</v>
      </c>
      <c r="O14">
        <v>5.75</v>
      </c>
      <c r="P14">
        <v>49</v>
      </c>
      <c r="Q14">
        <v>49</v>
      </c>
      <c r="R14">
        <v>461</v>
      </c>
      <c r="S14">
        <v>74</v>
      </c>
      <c r="T14">
        <v>652</v>
      </c>
      <c r="U14">
        <v>50.15</v>
      </c>
      <c r="V14">
        <v>8.1300000000000008</v>
      </c>
      <c r="W14">
        <v>13.19</v>
      </c>
      <c r="X14">
        <v>254.6</v>
      </c>
      <c r="Y14">
        <v>7.13</v>
      </c>
      <c r="Z14">
        <v>11.51</v>
      </c>
      <c r="AA14">
        <v>273.5</v>
      </c>
      <c r="AB14">
        <v>106</v>
      </c>
      <c r="AC14">
        <v>544</v>
      </c>
      <c r="AD14">
        <v>2437</v>
      </c>
      <c r="AE14">
        <v>4.4800000000000004</v>
      </c>
      <c r="AF14">
        <v>29</v>
      </c>
      <c r="AG14">
        <v>187.5</v>
      </c>
      <c r="AH14">
        <v>10</v>
      </c>
      <c r="AI14">
        <v>581</v>
      </c>
      <c r="AJ14">
        <v>2852</v>
      </c>
      <c r="AK14">
        <v>4.91</v>
      </c>
      <c r="AL14">
        <v>219.4</v>
      </c>
      <c r="AM14">
        <v>49</v>
      </c>
      <c r="AN14">
        <v>16</v>
      </c>
      <c r="AO14">
        <v>55</v>
      </c>
      <c r="AP14">
        <v>12</v>
      </c>
      <c r="AQ14">
        <v>31</v>
      </c>
      <c r="AR14">
        <v>160</v>
      </c>
      <c r="AS14">
        <v>2.38</v>
      </c>
      <c r="AT14">
        <v>407</v>
      </c>
      <c r="AU14">
        <v>104</v>
      </c>
      <c r="AV14">
        <v>8</v>
      </c>
      <c r="AW14">
        <v>21</v>
      </c>
      <c r="AX14">
        <v>15</v>
      </c>
      <c r="AY14">
        <f t="shared" si="0"/>
        <v>6</v>
      </c>
      <c r="AZ14">
        <f>AY14/B14</f>
        <v>0.46153846153846156</v>
      </c>
    </row>
    <row r="15" spans="1:52">
      <c r="A15" t="s">
        <v>65</v>
      </c>
      <c r="B15">
        <v>13</v>
      </c>
      <c r="C15" s="2">
        <v>7</v>
      </c>
      <c r="D15" s="2">
        <v>6</v>
      </c>
      <c r="E15" s="2">
        <f t="shared" si="1"/>
        <v>0.53846153846153844</v>
      </c>
      <c r="F15">
        <v>484</v>
      </c>
      <c r="G15">
        <v>37.200000000000003</v>
      </c>
      <c r="H15">
        <v>440</v>
      </c>
      <c r="I15">
        <v>33.799999999999997</v>
      </c>
      <c r="J15">
        <v>6147</v>
      </c>
      <c r="K15">
        <v>6.12</v>
      </c>
      <c r="L15">
        <v>62</v>
      </c>
      <c r="M15">
        <v>472.8</v>
      </c>
      <c r="N15">
        <v>5605</v>
      </c>
      <c r="O15">
        <v>6</v>
      </c>
      <c r="P15">
        <v>55</v>
      </c>
      <c r="Q15">
        <v>56</v>
      </c>
      <c r="R15">
        <v>431.2</v>
      </c>
      <c r="S15">
        <v>56</v>
      </c>
      <c r="T15">
        <v>550</v>
      </c>
      <c r="U15">
        <v>42.31</v>
      </c>
      <c r="V15">
        <v>8.0299999999999994</v>
      </c>
      <c r="W15">
        <v>12.36</v>
      </c>
      <c r="X15">
        <v>316.7</v>
      </c>
      <c r="Y15">
        <v>7.41</v>
      </c>
      <c r="Z15">
        <v>13.03</v>
      </c>
      <c r="AA15">
        <v>227.5</v>
      </c>
      <c r="AB15">
        <v>120</v>
      </c>
      <c r="AC15">
        <v>535</v>
      </c>
      <c r="AD15">
        <v>2647</v>
      </c>
      <c r="AE15">
        <v>4.95</v>
      </c>
      <c r="AF15">
        <v>30</v>
      </c>
      <c r="AG15">
        <v>203.6</v>
      </c>
      <c r="AH15">
        <v>65</v>
      </c>
      <c r="AI15">
        <v>492</v>
      </c>
      <c r="AJ15">
        <v>2030</v>
      </c>
      <c r="AK15">
        <v>4.13</v>
      </c>
      <c r="AL15">
        <v>156.19999999999999</v>
      </c>
      <c r="AM15">
        <v>56</v>
      </c>
      <c r="AN15">
        <v>16</v>
      </c>
      <c r="AO15">
        <v>63</v>
      </c>
      <c r="AP15">
        <v>16</v>
      </c>
      <c r="AQ15">
        <v>21</v>
      </c>
      <c r="AR15">
        <v>150</v>
      </c>
      <c r="AS15">
        <v>1.62</v>
      </c>
      <c r="AT15">
        <v>308</v>
      </c>
      <c r="AU15">
        <v>65</v>
      </c>
      <c r="AV15">
        <v>5</v>
      </c>
      <c r="AW15">
        <v>18</v>
      </c>
      <c r="AX15">
        <v>20</v>
      </c>
      <c r="AY15">
        <f t="shared" si="0"/>
        <v>-2</v>
      </c>
      <c r="AZ15">
        <f>AY15/B15</f>
        <v>-0.15384615384615385</v>
      </c>
    </row>
    <row r="16" spans="1:52">
      <c r="A16" t="s">
        <v>66</v>
      </c>
      <c r="B16">
        <v>13</v>
      </c>
      <c r="C16" s="2">
        <v>7</v>
      </c>
      <c r="D16" s="2">
        <v>6</v>
      </c>
      <c r="E16" s="2">
        <f t="shared" si="1"/>
        <v>0.53846153846153844</v>
      </c>
      <c r="F16">
        <v>423</v>
      </c>
      <c r="G16">
        <v>32.5</v>
      </c>
      <c r="H16">
        <v>398</v>
      </c>
      <c r="I16">
        <v>30.6</v>
      </c>
      <c r="J16">
        <v>6128</v>
      </c>
      <c r="K16">
        <v>6.37</v>
      </c>
      <c r="L16">
        <v>53</v>
      </c>
      <c r="M16">
        <v>471.4</v>
      </c>
      <c r="N16">
        <v>6047</v>
      </c>
      <c r="O16">
        <v>6.46</v>
      </c>
      <c r="P16">
        <v>50</v>
      </c>
      <c r="Q16">
        <v>51</v>
      </c>
      <c r="R16">
        <v>465.2</v>
      </c>
      <c r="S16">
        <v>83</v>
      </c>
      <c r="T16">
        <v>722</v>
      </c>
      <c r="U16">
        <v>55.54</v>
      </c>
      <c r="V16">
        <v>8.5500000000000007</v>
      </c>
      <c r="W16">
        <v>13.21</v>
      </c>
      <c r="X16">
        <v>234.7</v>
      </c>
      <c r="Y16">
        <v>8.5299999999999994</v>
      </c>
      <c r="Z16">
        <v>13.93</v>
      </c>
      <c r="AA16">
        <v>294.7</v>
      </c>
      <c r="AB16">
        <v>94</v>
      </c>
      <c r="AC16">
        <v>487</v>
      </c>
      <c r="AD16">
        <v>2216</v>
      </c>
      <c r="AE16">
        <v>4.55</v>
      </c>
      <c r="AF16">
        <v>26</v>
      </c>
      <c r="AG16">
        <v>170.5</v>
      </c>
      <c r="AH16">
        <v>7</v>
      </c>
      <c r="AI16">
        <v>605</v>
      </c>
      <c r="AJ16">
        <v>3077</v>
      </c>
      <c r="AK16">
        <v>5.09</v>
      </c>
      <c r="AL16">
        <v>236.7</v>
      </c>
      <c r="AM16">
        <v>51</v>
      </c>
      <c r="AN16">
        <v>15</v>
      </c>
      <c r="AO16">
        <v>54</v>
      </c>
      <c r="AP16">
        <v>13</v>
      </c>
      <c r="AQ16">
        <v>31</v>
      </c>
      <c r="AR16">
        <v>221</v>
      </c>
      <c r="AS16">
        <v>2.38</v>
      </c>
      <c r="AT16">
        <v>332</v>
      </c>
      <c r="AU16">
        <v>79</v>
      </c>
      <c r="AV16">
        <v>6.1</v>
      </c>
      <c r="AW16">
        <v>18</v>
      </c>
      <c r="AX16">
        <v>18</v>
      </c>
      <c r="AY16">
        <f t="shared" si="0"/>
        <v>0</v>
      </c>
      <c r="AZ16">
        <f>AY16/B16</f>
        <v>0</v>
      </c>
    </row>
    <row r="17" spans="1:52">
      <c r="A17" t="s">
        <v>67</v>
      </c>
      <c r="B17">
        <v>14</v>
      </c>
      <c r="C17" s="2">
        <v>9</v>
      </c>
      <c r="D17" s="2">
        <v>5</v>
      </c>
      <c r="E17" s="2">
        <f t="shared" si="1"/>
        <v>0.6428571428571429</v>
      </c>
      <c r="F17">
        <v>460</v>
      </c>
      <c r="G17">
        <v>32.9</v>
      </c>
      <c r="H17">
        <v>331</v>
      </c>
      <c r="I17">
        <v>23.6</v>
      </c>
      <c r="J17">
        <v>6574</v>
      </c>
      <c r="K17">
        <v>6.17</v>
      </c>
      <c r="L17">
        <v>57</v>
      </c>
      <c r="M17">
        <v>469.6</v>
      </c>
      <c r="N17">
        <v>5320</v>
      </c>
      <c r="O17">
        <v>5.65</v>
      </c>
      <c r="P17">
        <v>39</v>
      </c>
      <c r="Q17">
        <v>39</v>
      </c>
      <c r="R17">
        <v>380</v>
      </c>
      <c r="S17">
        <v>68</v>
      </c>
      <c r="T17">
        <v>649</v>
      </c>
      <c r="U17">
        <v>46.36</v>
      </c>
      <c r="V17">
        <v>7.49</v>
      </c>
      <c r="W17">
        <v>11.6</v>
      </c>
      <c r="X17">
        <v>241.2</v>
      </c>
      <c r="Y17">
        <v>6.85</v>
      </c>
      <c r="Z17">
        <v>11.61</v>
      </c>
      <c r="AA17">
        <v>222.3</v>
      </c>
      <c r="AB17">
        <v>78</v>
      </c>
      <c r="AC17">
        <v>488</v>
      </c>
      <c r="AD17">
        <v>2208</v>
      </c>
      <c r="AE17">
        <v>4.5199999999999996</v>
      </c>
      <c r="AF17">
        <v>24</v>
      </c>
      <c r="AG17">
        <v>157.69999999999999</v>
      </c>
      <c r="AH17">
        <v>9</v>
      </c>
      <c r="AI17">
        <v>615</v>
      </c>
      <c r="AJ17">
        <v>3197</v>
      </c>
      <c r="AK17">
        <v>5.2</v>
      </c>
      <c r="AL17">
        <v>228.4</v>
      </c>
      <c r="AM17">
        <v>39</v>
      </c>
      <c r="AN17">
        <v>19</v>
      </c>
      <c r="AO17">
        <v>59</v>
      </c>
      <c r="AP17">
        <v>14</v>
      </c>
      <c r="AQ17">
        <v>36</v>
      </c>
      <c r="AR17">
        <v>207</v>
      </c>
      <c r="AS17">
        <v>2.57</v>
      </c>
      <c r="AT17">
        <v>281</v>
      </c>
      <c r="AU17">
        <v>76</v>
      </c>
      <c r="AV17">
        <v>5.4</v>
      </c>
      <c r="AW17">
        <v>18</v>
      </c>
      <c r="AX17">
        <v>23</v>
      </c>
      <c r="AY17">
        <f t="shared" si="0"/>
        <v>-5</v>
      </c>
      <c r="AZ17">
        <f>AY17/B17</f>
        <v>-0.35714285714285715</v>
      </c>
    </row>
    <row r="18" spans="1:52">
      <c r="A18" t="s">
        <v>68</v>
      </c>
      <c r="B18">
        <v>14</v>
      </c>
      <c r="C18" s="2">
        <v>10</v>
      </c>
      <c r="D18" s="2">
        <v>4</v>
      </c>
      <c r="E18" s="2">
        <f t="shared" si="1"/>
        <v>0.7142857142857143</v>
      </c>
      <c r="F18">
        <v>541</v>
      </c>
      <c r="G18">
        <v>38.6</v>
      </c>
      <c r="H18">
        <v>300</v>
      </c>
      <c r="I18">
        <v>21.4</v>
      </c>
      <c r="J18">
        <v>6536</v>
      </c>
      <c r="K18">
        <v>6.5</v>
      </c>
      <c r="L18">
        <v>69</v>
      </c>
      <c r="M18">
        <v>466.9</v>
      </c>
      <c r="N18">
        <v>4677</v>
      </c>
      <c r="O18">
        <v>5.8</v>
      </c>
      <c r="P18">
        <v>38</v>
      </c>
      <c r="Q18">
        <v>38</v>
      </c>
      <c r="R18">
        <v>334.1</v>
      </c>
      <c r="S18">
        <v>63</v>
      </c>
      <c r="T18">
        <v>563</v>
      </c>
      <c r="U18">
        <v>40.21</v>
      </c>
      <c r="V18">
        <v>7.82</v>
      </c>
      <c r="W18">
        <v>12.11</v>
      </c>
      <c r="X18">
        <v>249.2</v>
      </c>
      <c r="Y18">
        <v>7.55</v>
      </c>
      <c r="Z18">
        <v>12.32</v>
      </c>
      <c r="AA18">
        <v>222.6</v>
      </c>
      <c r="AB18">
        <v>18</v>
      </c>
      <c r="AC18">
        <v>394</v>
      </c>
      <c r="AD18">
        <v>1560</v>
      </c>
      <c r="AE18">
        <v>3.96</v>
      </c>
      <c r="AF18">
        <v>18</v>
      </c>
      <c r="AG18">
        <v>111.4</v>
      </c>
      <c r="AH18">
        <v>11</v>
      </c>
      <c r="AI18">
        <v>560</v>
      </c>
      <c r="AJ18">
        <v>3047</v>
      </c>
      <c r="AK18">
        <v>5.44</v>
      </c>
      <c r="AL18">
        <v>217.6</v>
      </c>
      <c r="AM18">
        <v>38</v>
      </c>
      <c r="AN18">
        <v>10</v>
      </c>
      <c r="AO18">
        <v>73</v>
      </c>
      <c r="AP18">
        <v>10</v>
      </c>
      <c r="AQ18">
        <v>15</v>
      </c>
      <c r="AR18">
        <v>109</v>
      </c>
      <c r="AS18">
        <v>1.07</v>
      </c>
      <c r="AT18">
        <v>410</v>
      </c>
      <c r="AU18">
        <v>90</v>
      </c>
      <c r="AV18">
        <v>6.4</v>
      </c>
      <c r="AW18">
        <v>24</v>
      </c>
      <c r="AX18">
        <v>18</v>
      </c>
      <c r="AY18">
        <f t="shared" si="0"/>
        <v>6</v>
      </c>
      <c r="AZ18">
        <f>AY18/B18</f>
        <v>0.42857142857142855</v>
      </c>
    </row>
    <row r="19" spans="1:52">
      <c r="A19" t="s">
        <v>69</v>
      </c>
      <c r="B19">
        <v>13</v>
      </c>
      <c r="C19" s="2">
        <v>6</v>
      </c>
      <c r="D19" s="2">
        <v>7</v>
      </c>
      <c r="E19" s="2">
        <f t="shared" si="1"/>
        <v>0.46153846153846156</v>
      </c>
      <c r="F19">
        <v>425</v>
      </c>
      <c r="G19">
        <v>32.700000000000003</v>
      </c>
      <c r="H19">
        <v>411</v>
      </c>
      <c r="I19">
        <v>31.6</v>
      </c>
      <c r="J19">
        <v>6057</v>
      </c>
      <c r="K19">
        <v>6.17</v>
      </c>
      <c r="L19">
        <v>51</v>
      </c>
      <c r="M19">
        <v>465.9</v>
      </c>
      <c r="N19">
        <v>6341</v>
      </c>
      <c r="O19">
        <v>6.5</v>
      </c>
      <c r="P19">
        <v>48</v>
      </c>
      <c r="Q19">
        <v>49</v>
      </c>
      <c r="R19">
        <v>487.8</v>
      </c>
      <c r="S19">
        <v>66</v>
      </c>
      <c r="T19">
        <v>595</v>
      </c>
      <c r="U19">
        <v>45.77</v>
      </c>
      <c r="V19">
        <v>7</v>
      </c>
      <c r="W19">
        <v>11.47</v>
      </c>
      <c r="X19">
        <v>329.2</v>
      </c>
      <c r="Y19">
        <v>7.71</v>
      </c>
      <c r="Z19">
        <v>13.15</v>
      </c>
      <c r="AA19">
        <v>256.8</v>
      </c>
      <c r="AB19">
        <v>128</v>
      </c>
      <c r="AC19">
        <v>542</v>
      </c>
      <c r="AD19">
        <v>3002</v>
      </c>
      <c r="AE19">
        <v>5.54</v>
      </c>
      <c r="AF19">
        <v>29</v>
      </c>
      <c r="AG19">
        <v>230.9</v>
      </c>
      <c r="AH19">
        <v>88</v>
      </c>
      <c r="AI19">
        <v>370</v>
      </c>
      <c r="AJ19">
        <v>1778</v>
      </c>
      <c r="AK19">
        <v>4.8099999999999996</v>
      </c>
      <c r="AL19">
        <v>136.80000000000001</v>
      </c>
      <c r="AM19">
        <v>49</v>
      </c>
      <c r="AN19">
        <v>23</v>
      </c>
      <c r="AO19">
        <v>53</v>
      </c>
      <c r="AP19">
        <v>18</v>
      </c>
      <c r="AQ19">
        <v>7</v>
      </c>
      <c r="AR19">
        <v>52</v>
      </c>
      <c r="AS19">
        <v>0.54</v>
      </c>
      <c r="AT19">
        <v>174</v>
      </c>
      <c r="AU19">
        <v>53</v>
      </c>
      <c r="AV19">
        <v>4.0999999999999996</v>
      </c>
      <c r="AW19">
        <v>16</v>
      </c>
      <c r="AX19">
        <v>21</v>
      </c>
      <c r="AY19">
        <f t="shared" si="0"/>
        <v>-5</v>
      </c>
      <c r="AZ19">
        <f>AY19/B19</f>
        <v>-0.38461538461538464</v>
      </c>
    </row>
    <row r="20" spans="1:52">
      <c r="A20" t="s">
        <v>70</v>
      </c>
      <c r="B20">
        <v>14</v>
      </c>
      <c r="C20" s="2">
        <v>9</v>
      </c>
      <c r="D20" s="2">
        <v>5</v>
      </c>
      <c r="E20" s="2">
        <f t="shared" si="1"/>
        <v>0.6428571428571429</v>
      </c>
      <c r="F20">
        <v>482</v>
      </c>
      <c r="G20">
        <v>34.4</v>
      </c>
      <c r="H20">
        <v>431</v>
      </c>
      <c r="I20">
        <v>30.8</v>
      </c>
      <c r="J20">
        <v>6479</v>
      </c>
      <c r="K20">
        <v>6.27</v>
      </c>
      <c r="L20">
        <v>62</v>
      </c>
      <c r="M20">
        <v>462.8</v>
      </c>
      <c r="N20">
        <v>6111</v>
      </c>
      <c r="O20">
        <v>6.14</v>
      </c>
      <c r="P20">
        <v>56</v>
      </c>
      <c r="Q20">
        <v>57</v>
      </c>
      <c r="R20">
        <v>436.5</v>
      </c>
      <c r="S20">
        <v>86</v>
      </c>
      <c r="T20">
        <v>774</v>
      </c>
      <c r="U20">
        <v>55.29</v>
      </c>
      <c r="V20">
        <v>8.23</v>
      </c>
      <c r="W20">
        <v>12.59</v>
      </c>
      <c r="X20">
        <v>309.3</v>
      </c>
      <c r="Y20">
        <v>7.88</v>
      </c>
      <c r="Z20">
        <v>11.98</v>
      </c>
      <c r="AA20">
        <v>271.3</v>
      </c>
      <c r="AB20">
        <v>86</v>
      </c>
      <c r="AC20">
        <v>513</v>
      </c>
      <c r="AD20">
        <v>2313</v>
      </c>
      <c r="AE20">
        <v>4.51</v>
      </c>
      <c r="AF20">
        <v>29</v>
      </c>
      <c r="AG20">
        <v>165.2</v>
      </c>
      <c r="AH20">
        <v>67</v>
      </c>
      <c r="AI20">
        <v>508</v>
      </c>
      <c r="AJ20">
        <v>2149</v>
      </c>
      <c r="AK20">
        <v>4.2300000000000004</v>
      </c>
      <c r="AL20">
        <v>153.5</v>
      </c>
      <c r="AM20">
        <v>57</v>
      </c>
      <c r="AN20">
        <v>11</v>
      </c>
      <c r="AO20">
        <v>63</v>
      </c>
      <c r="AP20">
        <v>15</v>
      </c>
      <c r="AQ20">
        <v>40</v>
      </c>
      <c r="AR20">
        <v>204</v>
      </c>
      <c r="AS20">
        <v>2.86</v>
      </c>
      <c r="AT20">
        <v>191</v>
      </c>
      <c r="AU20">
        <v>51</v>
      </c>
      <c r="AV20">
        <v>3.6</v>
      </c>
      <c r="AW20">
        <v>14</v>
      </c>
      <c r="AX20">
        <v>14</v>
      </c>
      <c r="AY20">
        <f t="shared" si="0"/>
        <v>0</v>
      </c>
      <c r="AZ20">
        <f>AY20/B20</f>
        <v>0</v>
      </c>
    </row>
    <row r="21" spans="1:52">
      <c r="A21" t="s">
        <v>71</v>
      </c>
      <c r="B21">
        <v>12</v>
      </c>
      <c r="C21" s="2">
        <v>5</v>
      </c>
      <c r="D21" s="2">
        <v>7</v>
      </c>
      <c r="E21" s="2">
        <f t="shared" si="1"/>
        <v>0.41666666666666669</v>
      </c>
      <c r="F21">
        <v>370</v>
      </c>
      <c r="G21">
        <v>30.8</v>
      </c>
      <c r="H21">
        <v>438</v>
      </c>
      <c r="I21">
        <v>36.5</v>
      </c>
      <c r="J21">
        <v>5543</v>
      </c>
      <c r="K21">
        <v>6.83</v>
      </c>
      <c r="L21">
        <v>45</v>
      </c>
      <c r="M21">
        <v>461.9</v>
      </c>
      <c r="N21">
        <v>5612</v>
      </c>
      <c r="O21">
        <v>6.6</v>
      </c>
      <c r="P21">
        <v>58</v>
      </c>
      <c r="Q21">
        <v>60</v>
      </c>
      <c r="R21">
        <v>467.7</v>
      </c>
      <c r="S21">
        <v>65</v>
      </c>
      <c r="T21">
        <v>600</v>
      </c>
      <c r="U21">
        <v>50</v>
      </c>
      <c r="V21">
        <v>8.32</v>
      </c>
      <c r="W21">
        <v>13.5</v>
      </c>
      <c r="X21">
        <v>318.39999999999998</v>
      </c>
      <c r="Y21">
        <v>7.74</v>
      </c>
      <c r="Z21">
        <v>11.08</v>
      </c>
      <c r="AA21">
        <v>258.60000000000002</v>
      </c>
      <c r="AB21">
        <v>124</v>
      </c>
      <c r="AC21">
        <v>449</v>
      </c>
      <c r="AD21">
        <v>2509</v>
      </c>
      <c r="AE21">
        <v>5.59</v>
      </c>
      <c r="AF21">
        <v>33</v>
      </c>
      <c r="AG21">
        <v>209.1</v>
      </c>
      <c r="AH21">
        <v>71</v>
      </c>
      <c r="AI21">
        <v>352</v>
      </c>
      <c r="AJ21">
        <v>1722</v>
      </c>
      <c r="AK21">
        <v>4.8899999999999997</v>
      </c>
      <c r="AL21">
        <v>143.5</v>
      </c>
      <c r="AM21">
        <v>60</v>
      </c>
      <c r="AN21">
        <v>7</v>
      </c>
      <c r="AO21">
        <v>45</v>
      </c>
      <c r="AP21">
        <v>18</v>
      </c>
      <c r="AQ21">
        <v>23</v>
      </c>
      <c r="AR21">
        <v>219</v>
      </c>
      <c r="AS21">
        <v>1.92</v>
      </c>
      <c r="AT21">
        <v>177</v>
      </c>
      <c r="AU21">
        <v>54</v>
      </c>
      <c r="AV21">
        <v>4.5</v>
      </c>
      <c r="AW21">
        <v>15</v>
      </c>
      <c r="AX21">
        <v>21</v>
      </c>
      <c r="AY21">
        <f t="shared" si="0"/>
        <v>-6</v>
      </c>
      <c r="AZ21">
        <f>AY21/B21</f>
        <v>-0.5</v>
      </c>
    </row>
    <row r="22" spans="1:52">
      <c r="A22" t="s">
        <v>72</v>
      </c>
      <c r="B22">
        <v>14</v>
      </c>
      <c r="C22" s="2">
        <v>7</v>
      </c>
      <c r="D22" s="2">
        <v>7</v>
      </c>
      <c r="E22" s="2">
        <f t="shared" si="1"/>
        <v>0.5</v>
      </c>
      <c r="F22">
        <v>473</v>
      </c>
      <c r="G22">
        <v>33.799999999999997</v>
      </c>
      <c r="H22">
        <v>444</v>
      </c>
      <c r="I22">
        <v>31.7</v>
      </c>
      <c r="J22">
        <v>6465</v>
      </c>
      <c r="K22">
        <v>6.68</v>
      </c>
      <c r="L22">
        <v>58</v>
      </c>
      <c r="M22">
        <v>461.8</v>
      </c>
      <c r="N22">
        <v>6433</v>
      </c>
      <c r="O22">
        <v>6.08</v>
      </c>
      <c r="P22">
        <v>50</v>
      </c>
      <c r="Q22">
        <v>55</v>
      </c>
      <c r="R22">
        <v>459.5</v>
      </c>
      <c r="S22">
        <v>74</v>
      </c>
      <c r="T22">
        <v>591</v>
      </c>
      <c r="U22">
        <v>42.21</v>
      </c>
      <c r="V22">
        <v>8.49</v>
      </c>
      <c r="W22">
        <v>15.22</v>
      </c>
      <c r="X22">
        <v>261.89999999999998</v>
      </c>
      <c r="Y22">
        <v>7.53</v>
      </c>
      <c r="Z22">
        <v>11.87</v>
      </c>
      <c r="AA22">
        <v>262.10000000000002</v>
      </c>
      <c r="AB22">
        <v>116</v>
      </c>
      <c r="AC22">
        <v>571</v>
      </c>
      <c r="AD22">
        <v>2764</v>
      </c>
      <c r="AE22">
        <v>4.84</v>
      </c>
      <c r="AF22">
        <v>26</v>
      </c>
      <c r="AG22">
        <v>197.4</v>
      </c>
      <c r="AH22">
        <v>25</v>
      </c>
      <c r="AI22">
        <v>536</v>
      </c>
      <c r="AJ22">
        <v>2798</v>
      </c>
      <c r="AK22">
        <v>5.22</v>
      </c>
      <c r="AL22">
        <v>199.9</v>
      </c>
      <c r="AM22">
        <v>55</v>
      </c>
      <c r="AN22">
        <v>19</v>
      </c>
      <c r="AO22">
        <v>60</v>
      </c>
      <c r="AP22">
        <v>18</v>
      </c>
      <c r="AQ22">
        <v>11</v>
      </c>
      <c r="AR22">
        <v>71</v>
      </c>
      <c r="AS22">
        <v>0.79</v>
      </c>
      <c r="AT22">
        <v>257</v>
      </c>
      <c r="AU22">
        <v>63</v>
      </c>
      <c r="AV22">
        <v>4.5</v>
      </c>
      <c r="AW22">
        <v>16</v>
      </c>
      <c r="AX22">
        <v>22</v>
      </c>
      <c r="AY22">
        <f t="shared" si="0"/>
        <v>-6</v>
      </c>
      <c r="AZ22">
        <f>AY22/B22</f>
        <v>-0.42857142857142855</v>
      </c>
    </row>
    <row r="23" spans="1:52">
      <c r="A23" t="s">
        <v>73</v>
      </c>
      <c r="B23">
        <v>13</v>
      </c>
      <c r="C23" s="2">
        <v>8</v>
      </c>
      <c r="D23" s="2">
        <v>5</v>
      </c>
      <c r="E23" s="2">
        <f t="shared" si="1"/>
        <v>0.61538461538461542</v>
      </c>
      <c r="F23">
        <v>445</v>
      </c>
      <c r="G23">
        <v>34.200000000000003</v>
      </c>
      <c r="H23">
        <v>379</v>
      </c>
      <c r="I23">
        <v>29.2</v>
      </c>
      <c r="J23">
        <v>5998</v>
      </c>
      <c r="K23">
        <v>5.48</v>
      </c>
      <c r="L23">
        <v>54</v>
      </c>
      <c r="M23">
        <v>461.4</v>
      </c>
      <c r="N23">
        <v>5532</v>
      </c>
      <c r="O23">
        <v>5.88</v>
      </c>
      <c r="P23">
        <v>41</v>
      </c>
      <c r="Q23">
        <v>45</v>
      </c>
      <c r="R23">
        <v>425.5</v>
      </c>
      <c r="S23">
        <v>74</v>
      </c>
      <c r="T23">
        <v>576</v>
      </c>
      <c r="U23">
        <v>44.31</v>
      </c>
      <c r="V23">
        <v>6.9</v>
      </c>
      <c r="W23">
        <v>11.28</v>
      </c>
      <c r="X23">
        <v>302</v>
      </c>
      <c r="Y23">
        <v>7.85</v>
      </c>
      <c r="Z23">
        <v>13.3</v>
      </c>
      <c r="AA23">
        <v>256.8</v>
      </c>
      <c r="AB23">
        <v>91</v>
      </c>
      <c r="AC23">
        <v>516</v>
      </c>
      <c r="AD23">
        <v>2194</v>
      </c>
      <c r="AE23">
        <v>4.25</v>
      </c>
      <c r="AF23">
        <v>18</v>
      </c>
      <c r="AG23">
        <v>168.8</v>
      </c>
      <c r="AH23">
        <v>59</v>
      </c>
      <c r="AI23">
        <v>525</v>
      </c>
      <c r="AJ23">
        <v>2072</v>
      </c>
      <c r="AK23">
        <v>3.95</v>
      </c>
      <c r="AL23">
        <v>159.4</v>
      </c>
      <c r="AM23">
        <v>45</v>
      </c>
      <c r="AN23">
        <v>22</v>
      </c>
      <c r="AO23">
        <v>55</v>
      </c>
      <c r="AP23">
        <v>21</v>
      </c>
      <c r="AQ23">
        <v>41</v>
      </c>
      <c r="AR23">
        <v>255</v>
      </c>
      <c r="AS23">
        <v>3.15</v>
      </c>
      <c r="AT23">
        <v>343</v>
      </c>
      <c r="AU23">
        <v>91</v>
      </c>
      <c r="AV23">
        <v>7</v>
      </c>
      <c r="AW23">
        <v>19</v>
      </c>
      <c r="AX23">
        <v>25</v>
      </c>
      <c r="AY23">
        <f t="shared" si="0"/>
        <v>-6</v>
      </c>
      <c r="AZ23">
        <f>AY23/B23</f>
        <v>-0.46153846153846156</v>
      </c>
    </row>
    <row r="24" spans="1:52">
      <c r="A24" t="s">
        <v>74</v>
      </c>
      <c r="B24">
        <v>13</v>
      </c>
      <c r="C24" s="2">
        <v>8</v>
      </c>
      <c r="D24" s="2">
        <v>5</v>
      </c>
      <c r="E24" s="2">
        <f t="shared" si="1"/>
        <v>0.61538461538461542</v>
      </c>
      <c r="F24">
        <v>423</v>
      </c>
      <c r="G24">
        <v>32.5</v>
      </c>
      <c r="H24">
        <v>353</v>
      </c>
      <c r="I24">
        <v>27.2</v>
      </c>
      <c r="J24">
        <v>5994</v>
      </c>
      <c r="K24">
        <v>6.62</v>
      </c>
      <c r="L24">
        <v>53</v>
      </c>
      <c r="M24">
        <v>461.1</v>
      </c>
      <c r="N24">
        <v>5256</v>
      </c>
      <c r="O24">
        <v>6.1</v>
      </c>
      <c r="P24">
        <v>42</v>
      </c>
      <c r="Q24">
        <v>44</v>
      </c>
      <c r="R24">
        <v>404.3</v>
      </c>
      <c r="S24">
        <v>56</v>
      </c>
      <c r="T24">
        <v>488</v>
      </c>
      <c r="U24">
        <v>37.54</v>
      </c>
      <c r="V24">
        <v>7.8</v>
      </c>
      <c r="W24">
        <v>11.69</v>
      </c>
      <c r="X24">
        <v>290.5</v>
      </c>
      <c r="Y24">
        <v>8.6999999999999993</v>
      </c>
      <c r="Z24">
        <v>13.17</v>
      </c>
      <c r="AA24">
        <v>291.8</v>
      </c>
      <c r="AB24">
        <v>19</v>
      </c>
      <c r="AC24">
        <v>425</v>
      </c>
      <c r="AD24">
        <v>1462</v>
      </c>
      <c r="AE24">
        <v>3.44</v>
      </c>
      <c r="AF24">
        <v>15</v>
      </c>
      <c r="AG24">
        <v>112.5</v>
      </c>
      <c r="AH24">
        <v>54</v>
      </c>
      <c r="AI24">
        <v>422</v>
      </c>
      <c r="AJ24">
        <v>2218</v>
      </c>
      <c r="AK24">
        <v>5.26</v>
      </c>
      <c r="AL24">
        <v>170.6</v>
      </c>
      <c r="AM24">
        <v>44</v>
      </c>
      <c r="AN24">
        <v>14</v>
      </c>
      <c r="AO24">
        <v>55</v>
      </c>
      <c r="AP24">
        <v>13</v>
      </c>
      <c r="AQ24">
        <v>17</v>
      </c>
      <c r="AR24">
        <v>107</v>
      </c>
      <c r="AS24">
        <v>1.31</v>
      </c>
      <c r="AT24">
        <v>305</v>
      </c>
      <c r="AU24">
        <v>77</v>
      </c>
      <c r="AV24">
        <v>5.9</v>
      </c>
      <c r="AW24">
        <v>20</v>
      </c>
      <c r="AX24">
        <v>7</v>
      </c>
      <c r="AY24">
        <f t="shared" si="0"/>
        <v>13</v>
      </c>
      <c r="AZ24">
        <f>AY24/B24</f>
        <v>1</v>
      </c>
    </row>
    <row r="25" spans="1:52">
      <c r="A25" t="s">
        <v>75</v>
      </c>
      <c r="B25">
        <v>14</v>
      </c>
      <c r="C25" s="2">
        <v>13</v>
      </c>
      <c r="D25" s="2">
        <v>1</v>
      </c>
      <c r="E25" s="2">
        <f t="shared" si="1"/>
        <v>0.9285714285714286</v>
      </c>
      <c r="F25">
        <v>566</v>
      </c>
      <c r="G25">
        <v>40.4</v>
      </c>
      <c r="H25">
        <v>225</v>
      </c>
      <c r="I25">
        <v>16.100000000000001</v>
      </c>
      <c r="J25">
        <v>6423</v>
      </c>
      <c r="K25">
        <v>6.62</v>
      </c>
      <c r="L25">
        <v>65</v>
      </c>
      <c r="M25">
        <v>458.8</v>
      </c>
      <c r="N25">
        <v>4090</v>
      </c>
      <c r="O25">
        <v>4.6500000000000004</v>
      </c>
      <c r="P25">
        <v>21</v>
      </c>
      <c r="Q25">
        <v>25</v>
      </c>
      <c r="R25">
        <v>292.10000000000002</v>
      </c>
      <c r="S25">
        <v>58</v>
      </c>
      <c r="T25">
        <v>448</v>
      </c>
      <c r="U25">
        <v>32</v>
      </c>
      <c r="V25">
        <v>8.32</v>
      </c>
      <c r="W25">
        <v>12.93</v>
      </c>
      <c r="X25">
        <v>219.9</v>
      </c>
      <c r="Y25">
        <v>5.94</v>
      </c>
      <c r="Z25">
        <v>10.62</v>
      </c>
      <c r="AA25">
        <v>194.2</v>
      </c>
      <c r="AB25">
        <v>7</v>
      </c>
      <c r="AC25">
        <v>421</v>
      </c>
      <c r="AD25">
        <v>1371</v>
      </c>
      <c r="AE25">
        <v>3.26</v>
      </c>
      <c r="AF25">
        <v>10</v>
      </c>
      <c r="AG25">
        <v>97.9</v>
      </c>
      <c r="AH25">
        <v>5</v>
      </c>
      <c r="AI25">
        <v>600</v>
      </c>
      <c r="AJ25">
        <v>3345</v>
      </c>
      <c r="AK25">
        <v>5.58</v>
      </c>
      <c r="AL25">
        <v>238.9</v>
      </c>
      <c r="AM25">
        <v>25</v>
      </c>
      <c r="AN25">
        <v>17</v>
      </c>
      <c r="AO25">
        <v>68</v>
      </c>
      <c r="AP25">
        <v>29</v>
      </c>
      <c r="AQ25">
        <v>17</v>
      </c>
      <c r="AR25">
        <v>139</v>
      </c>
      <c r="AS25">
        <v>1.21</v>
      </c>
      <c r="AT25">
        <v>356</v>
      </c>
      <c r="AU25">
        <v>73</v>
      </c>
      <c r="AV25">
        <v>5.2</v>
      </c>
      <c r="AW25">
        <v>18</v>
      </c>
      <c r="AX25">
        <v>10</v>
      </c>
      <c r="AY25">
        <f t="shared" si="0"/>
        <v>8</v>
      </c>
      <c r="AZ25">
        <f>AY25/B25</f>
        <v>0.5714285714285714</v>
      </c>
    </row>
    <row r="26" spans="1:52">
      <c r="A26" t="s">
        <v>76</v>
      </c>
      <c r="B26">
        <v>13</v>
      </c>
      <c r="C26" s="2">
        <v>8</v>
      </c>
      <c r="D26" s="2">
        <v>5</v>
      </c>
      <c r="E26" s="2">
        <f t="shared" si="1"/>
        <v>0.61538461538461542</v>
      </c>
      <c r="F26">
        <v>469</v>
      </c>
      <c r="G26">
        <v>36.1</v>
      </c>
      <c r="H26">
        <v>418</v>
      </c>
      <c r="I26">
        <v>32.200000000000003</v>
      </c>
      <c r="J26">
        <v>5926</v>
      </c>
      <c r="K26">
        <v>6.57</v>
      </c>
      <c r="L26">
        <v>57</v>
      </c>
      <c r="M26">
        <v>455.8</v>
      </c>
      <c r="N26">
        <v>5483</v>
      </c>
      <c r="O26">
        <v>5.91</v>
      </c>
      <c r="P26">
        <v>50</v>
      </c>
      <c r="Q26">
        <v>52</v>
      </c>
      <c r="R26">
        <v>421.8</v>
      </c>
      <c r="S26">
        <v>103</v>
      </c>
      <c r="T26">
        <v>915</v>
      </c>
      <c r="U26">
        <v>70.38</v>
      </c>
      <c r="V26">
        <v>8.16</v>
      </c>
      <c r="W26">
        <v>12.11</v>
      </c>
      <c r="X26">
        <v>314</v>
      </c>
      <c r="Y26">
        <v>7.56</v>
      </c>
      <c r="Z26">
        <v>11.91</v>
      </c>
      <c r="AA26">
        <v>278.60000000000002</v>
      </c>
      <c r="AB26">
        <v>56</v>
      </c>
      <c r="AC26">
        <v>449</v>
      </c>
      <c r="AD26">
        <v>1861</v>
      </c>
      <c r="AE26">
        <v>4.1399999999999997</v>
      </c>
      <c r="AF26">
        <v>18</v>
      </c>
      <c r="AG26">
        <v>143.19999999999999</v>
      </c>
      <c r="AH26">
        <v>77</v>
      </c>
      <c r="AI26">
        <v>402</v>
      </c>
      <c r="AJ26">
        <v>1844</v>
      </c>
      <c r="AK26">
        <v>4.59</v>
      </c>
      <c r="AL26">
        <v>141.80000000000001</v>
      </c>
      <c r="AM26">
        <v>52</v>
      </c>
      <c r="AN26">
        <v>20</v>
      </c>
      <c r="AO26">
        <v>61</v>
      </c>
      <c r="AP26">
        <v>14</v>
      </c>
      <c r="AQ26">
        <v>23</v>
      </c>
      <c r="AR26">
        <v>157</v>
      </c>
      <c r="AS26">
        <v>1.77</v>
      </c>
      <c r="AT26">
        <v>343</v>
      </c>
      <c r="AU26">
        <v>94</v>
      </c>
      <c r="AV26">
        <v>7.2</v>
      </c>
      <c r="AW26">
        <v>14</v>
      </c>
      <c r="AX26">
        <v>19</v>
      </c>
      <c r="AY26">
        <f t="shared" si="0"/>
        <v>-5</v>
      </c>
      <c r="AZ26">
        <f>AY26/B26</f>
        <v>-0.38461538461538464</v>
      </c>
    </row>
    <row r="27" spans="1:52">
      <c r="A27" t="s">
        <v>77</v>
      </c>
      <c r="B27">
        <v>12</v>
      </c>
      <c r="C27" s="2">
        <v>6</v>
      </c>
      <c r="D27" s="2">
        <v>6</v>
      </c>
      <c r="E27" s="2">
        <f t="shared" si="1"/>
        <v>0.5</v>
      </c>
      <c r="F27">
        <v>419</v>
      </c>
      <c r="G27">
        <v>34.9</v>
      </c>
      <c r="H27">
        <v>321</v>
      </c>
      <c r="I27">
        <v>26.8</v>
      </c>
      <c r="J27">
        <v>5464</v>
      </c>
      <c r="K27">
        <v>6.56</v>
      </c>
      <c r="L27">
        <v>55</v>
      </c>
      <c r="M27">
        <v>455.3</v>
      </c>
      <c r="N27">
        <v>4166</v>
      </c>
      <c r="O27">
        <v>5.31</v>
      </c>
      <c r="P27">
        <v>38</v>
      </c>
      <c r="Q27">
        <v>42</v>
      </c>
      <c r="R27">
        <v>347.2</v>
      </c>
      <c r="S27">
        <v>67</v>
      </c>
      <c r="T27">
        <v>619</v>
      </c>
      <c r="U27">
        <v>51.58</v>
      </c>
      <c r="V27">
        <v>8.39</v>
      </c>
      <c r="W27">
        <v>13.32</v>
      </c>
      <c r="X27">
        <v>250.9</v>
      </c>
      <c r="Y27">
        <v>7.24</v>
      </c>
      <c r="Z27">
        <v>12.09</v>
      </c>
      <c r="AA27">
        <v>219.7</v>
      </c>
      <c r="AB27">
        <v>34</v>
      </c>
      <c r="AC27">
        <v>420</v>
      </c>
      <c r="AD27">
        <v>1530</v>
      </c>
      <c r="AE27">
        <v>3.64</v>
      </c>
      <c r="AF27">
        <v>20</v>
      </c>
      <c r="AG27">
        <v>127.5</v>
      </c>
      <c r="AH27">
        <v>21</v>
      </c>
      <c r="AI27">
        <v>474</v>
      </c>
      <c r="AJ27">
        <v>2453</v>
      </c>
      <c r="AK27">
        <v>5.18</v>
      </c>
      <c r="AL27">
        <v>204.4</v>
      </c>
      <c r="AM27">
        <v>42</v>
      </c>
      <c r="AN27">
        <v>9</v>
      </c>
      <c r="AO27">
        <v>56</v>
      </c>
      <c r="AP27">
        <v>9</v>
      </c>
      <c r="AQ27">
        <v>18</v>
      </c>
      <c r="AR27">
        <v>93</v>
      </c>
      <c r="AS27">
        <v>1.5</v>
      </c>
      <c r="AT27">
        <v>266</v>
      </c>
      <c r="AU27">
        <v>65</v>
      </c>
      <c r="AV27">
        <v>5.4</v>
      </c>
      <c r="AW27">
        <v>20</v>
      </c>
      <c r="AX27">
        <v>11</v>
      </c>
      <c r="AY27">
        <f t="shared" si="0"/>
        <v>9</v>
      </c>
      <c r="AZ27">
        <f>AY27/B27</f>
        <v>0.75</v>
      </c>
    </row>
    <row r="28" spans="1:52">
      <c r="A28" t="s">
        <v>78</v>
      </c>
      <c r="B28">
        <v>15</v>
      </c>
      <c r="C28" s="2">
        <v>13</v>
      </c>
      <c r="D28" s="2">
        <v>2</v>
      </c>
      <c r="E28" s="2">
        <f t="shared" si="1"/>
        <v>0.8666666666666667</v>
      </c>
      <c r="F28">
        <v>582</v>
      </c>
      <c r="G28">
        <v>38.799999999999997</v>
      </c>
      <c r="H28">
        <v>435</v>
      </c>
      <c r="I28">
        <v>29</v>
      </c>
      <c r="J28">
        <v>6825</v>
      </c>
      <c r="K28">
        <v>6.69</v>
      </c>
      <c r="L28">
        <v>70</v>
      </c>
      <c r="M28">
        <v>455</v>
      </c>
      <c r="N28">
        <v>6123</v>
      </c>
      <c r="O28">
        <v>5.71</v>
      </c>
      <c r="P28">
        <v>54</v>
      </c>
      <c r="Q28">
        <v>55</v>
      </c>
      <c r="R28">
        <v>408.2</v>
      </c>
      <c r="S28">
        <v>72</v>
      </c>
      <c r="T28">
        <v>744</v>
      </c>
      <c r="U28">
        <v>49.6</v>
      </c>
      <c r="V28">
        <v>8.65</v>
      </c>
      <c r="W28">
        <v>13.45</v>
      </c>
      <c r="X28">
        <v>261.7</v>
      </c>
      <c r="Y28">
        <v>7.28</v>
      </c>
      <c r="Z28">
        <v>13.17</v>
      </c>
      <c r="AA28">
        <v>249.3</v>
      </c>
      <c r="AB28">
        <v>79</v>
      </c>
      <c r="AC28">
        <v>558</v>
      </c>
      <c r="AD28">
        <v>2383</v>
      </c>
      <c r="AE28">
        <v>4.2699999999999996</v>
      </c>
      <c r="AF28">
        <v>29</v>
      </c>
      <c r="AG28">
        <v>158.9</v>
      </c>
      <c r="AH28">
        <v>31</v>
      </c>
      <c r="AI28">
        <v>566</v>
      </c>
      <c r="AJ28">
        <v>2899</v>
      </c>
      <c r="AK28">
        <v>5.12</v>
      </c>
      <c r="AL28">
        <v>193.3</v>
      </c>
      <c r="AM28">
        <v>55</v>
      </c>
      <c r="AN28">
        <v>17</v>
      </c>
      <c r="AO28">
        <v>76</v>
      </c>
      <c r="AP28">
        <v>18</v>
      </c>
      <c r="AQ28">
        <v>29</v>
      </c>
      <c r="AR28">
        <v>224</v>
      </c>
      <c r="AS28">
        <v>1.93</v>
      </c>
      <c r="AT28">
        <v>313</v>
      </c>
      <c r="AU28">
        <v>86</v>
      </c>
      <c r="AV28">
        <v>5.7</v>
      </c>
      <c r="AW28">
        <v>22</v>
      </c>
      <c r="AX28">
        <v>16</v>
      </c>
      <c r="AY28">
        <f t="shared" si="0"/>
        <v>6</v>
      </c>
      <c r="AZ28">
        <f>AY28/B28</f>
        <v>0.4</v>
      </c>
    </row>
    <row r="29" spans="1:52">
      <c r="A29" t="s">
        <v>79</v>
      </c>
      <c r="B29">
        <v>14</v>
      </c>
      <c r="C29" s="2">
        <v>10</v>
      </c>
      <c r="D29" s="2">
        <v>4</v>
      </c>
      <c r="E29" s="2">
        <f t="shared" si="1"/>
        <v>0.7142857142857143</v>
      </c>
      <c r="F29">
        <v>483</v>
      </c>
      <c r="G29">
        <v>34.5</v>
      </c>
      <c r="H29">
        <v>309</v>
      </c>
      <c r="I29">
        <v>22.1</v>
      </c>
      <c r="J29">
        <v>6344</v>
      </c>
      <c r="K29">
        <v>6.36</v>
      </c>
      <c r="L29">
        <v>62</v>
      </c>
      <c r="M29">
        <v>453.1</v>
      </c>
      <c r="N29">
        <v>4964</v>
      </c>
      <c r="O29">
        <v>5.34</v>
      </c>
      <c r="P29">
        <v>35</v>
      </c>
      <c r="Q29">
        <v>38</v>
      </c>
      <c r="R29">
        <v>354.6</v>
      </c>
      <c r="S29">
        <v>86</v>
      </c>
      <c r="T29">
        <v>760</v>
      </c>
      <c r="U29">
        <v>54.29</v>
      </c>
      <c r="V29">
        <v>7.85</v>
      </c>
      <c r="W29">
        <v>11.71</v>
      </c>
      <c r="X29">
        <v>269.3</v>
      </c>
      <c r="Y29">
        <v>6.83</v>
      </c>
      <c r="Z29">
        <v>12.23</v>
      </c>
      <c r="AA29">
        <v>206.2</v>
      </c>
      <c r="AB29">
        <v>63</v>
      </c>
      <c r="AC29">
        <v>507</v>
      </c>
      <c r="AD29">
        <v>2077</v>
      </c>
      <c r="AE29">
        <v>4.0999999999999996</v>
      </c>
      <c r="AF29">
        <v>18</v>
      </c>
      <c r="AG29">
        <v>148.4</v>
      </c>
      <c r="AH29">
        <v>41</v>
      </c>
      <c r="AI29">
        <v>517</v>
      </c>
      <c r="AJ29">
        <v>2574</v>
      </c>
      <c r="AK29">
        <v>4.9800000000000004</v>
      </c>
      <c r="AL29">
        <v>183.9</v>
      </c>
      <c r="AM29">
        <v>37</v>
      </c>
      <c r="AN29">
        <v>17</v>
      </c>
      <c r="AO29">
        <v>65</v>
      </c>
      <c r="AP29">
        <v>10</v>
      </c>
      <c r="AQ29">
        <v>45</v>
      </c>
      <c r="AR29">
        <v>219</v>
      </c>
      <c r="AS29">
        <v>3.21</v>
      </c>
      <c r="AT29">
        <v>287</v>
      </c>
      <c r="AU29">
        <v>73</v>
      </c>
      <c r="AV29">
        <v>5.2</v>
      </c>
      <c r="AW29">
        <v>20</v>
      </c>
      <c r="AX29">
        <v>19</v>
      </c>
      <c r="AY29">
        <f t="shared" si="0"/>
        <v>1</v>
      </c>
      <c r="AZ29">
        <f>AY29/B29</f>
        <v>7.1428571428571425E-2</v>
      </c>
    </row>
    <row r="30" spans="1:52">
      <c r="A30" t="s">
        <v>80</v>
      </c>
      <c r="B30">
        <v>11</v>
      </c>
      <c r="C30" s="2">
        <v>8</v>
      </c>
      <c r="D30" s="2">
        <v>3</v>
      </c>
      <c r="E30" s="2">
        <f t="shared" si="1"/>
        <v>0.72727272727272729</v>
      </c>
      <c r="F30">
        <v>407</v>
      </c>
      <c r="G30">
        <v>37</v>
      </c>
      <c r="H30">
        <v>230</v>
      </c>
      <c r="I30">
        <v>20.9</v>
      </c>
      <c r="J30">
        <v>4977</v>
      </c>
      <c r="K30">
        <v>6.17</v>
      </c>
      <c r="L30">
        <v>51</v>
      </c>
      <c r="M30">
        <v>452.5</v>
      </c>
      <c r="N30">
        <v>3184</v>
      </c>
      <c r="O30">
        <v>4.74</v>
      </c>
      <c r="P30">
        <v>25</v>
      </c>
      <c r="Q30">
        <v>28</v>
      </c>
      <c r="R30">
        <v>289.5</v>
      </c>
      <c r="S30">
        <v>56</v>
      </c>
      <c r="T30">
        <v>439</v>
      </c>
      <c r="U30">
        <v>39.909999999999997</v>
      </c>
      <c r="V30">
        <v>8.91</v>
      </c>
      <c r="W30">
        <v>14.54</v>
      </c>
      <c r="X30">
        <v>265.7</v>
      </c>
      <c r="Y30">
        <v>7.26</v>
      </c>
      <c r="Z30">
        <v>13.28</v>
      </c>
      <c r="AA30">
        <v>210</v>
      </c>
      <c r="AB30">
        <v>2</v>
      </c>
      <c r="AC30">
        <v>354</v>
      </c>
      <c r="AD30">
        <v>874</v>
      </c>
      <c r="AE30">
        <v>2.4700000000000002</v>
      </c>
      <c r="AF30">
        <v>8</v>
      </c>
      <c r="AG30">
        <v>79.5</v>
      </c>
      <c r="AH30">
        <v>37</v>
      </c>
      <c r="AI30">
        <v>479</v>
      </c>
      <c r="AJ30">
        <v>2054</v>
      </c>
      <c r="AK30">
        <v>4.29</v>
      </c>
      <c r="AL30">
        <v>186.7</v>
      </c>
      <c r="AM30">
        <v>28</v>
      </c>
      <c r="AN30">
        <v>11</v>
      </c>
      <c r="AO30">
        <v>53</v>
      </c>
      <c r="AP30">
        <v>11</v>
      </c>
      <c r="AQ30">
        <v>22</v>
      </c>
      <c r="AR30">
        <v>141</v>
      </c>
      <c r="AS30">
        <v>2</v>
      </c>
      <c r="AT30">
        <v>337</v>
      </c>
      <c r="AU30">
        <v>95</v>
      </c>
      <c r="AV30">
        <v>8.6</v>
      </c>
      <c r="AW30">
        <v>24</v>
      </c>
      <c r="AX30">
        <v>20</v>
      </c>
      <c r="AY30">
        <f t="shared" si="0"/>
        <v>4</v>
      </c>
      <c r="AZ30">
        <f>AY30/B30</f>
        <v>0.36363636363636365</v>
      </c>
    </row>
    <row r="31" spans="1:52">
      <c r="A31" t="s">
        <v>81</v>
      </c>
      <c r="B31">
        <v>13</v>
      </c>
      <c r="C31" s="2">
        <v>8</v>
      </c>
      <c r="D31" s="2">
        <v>5</v>
      </c>
      <c r="E31" s="2">
        <f t="shared" si="1"/>
        <v>0.61538461538461542</v>
      </c>
      <c r="F31">
        <v>469</v>
      </c>
      <c r="G31">
        <v>36.1</v>
      </c>
      <c r="H31">
        <v>368</v>
      </c>
      <c r="I31">
        <v>28.3</v>
      </c>
      <c r="J31">
        <v>5751</v>
      </c>
      <c r="K31">
        <v>5.88</v>
      </c>
      <c r="L31">
        <v>60</v>
      </c>
      <c r="M31">
        <v>442.4</v>
      </c>
      <c r="N31">
        <v>5284</v>
      </c>
      <c r="O31">
        <v>5.68</v>
      </c>
      <c r="P31">
        <v>43</v>
      </c>
      <c r="Q31">
        <v>45</v>
      </c>
      <c r="R31">
        <v>406.5</v>
      </c>
      <c r="S31">
        <v>62</v>
      </c>
      <c r="T31">
        <v>523</v>
      </c>
      <c r="U31">
        <v>40.229999999999997</v>
      </c>
      <c r="V31">
        <v>8.57</v>
      </c>
      <c r="W31">
        <v>13.43</v>
      </c>
      <c r="X31">
        <v>311.89999999999998</v>
      </c>
      <c r="Y31">
        <v>7.51</v>
      </c>
      <c r="Z31">
        <v>12.48</v>
      </c>
      <c r="AA31">
        <v>269.7</v>
      </c>
      <c r="AB31">
        <v>46</v>
      </c>
      <c r="AC31">
        <v>464</v>
      </c>
      <c r="AD31">
        <v>1778</v>
      </c>
      <c r="AE31">
        <v>3.83</v>
      </c>
      <c r="AF31">
        <v>14</v>
      </c>
      <c r="AG31">
        <v>136.80000000000001</v>
      </c>
      <c r="AH31">
        <v>93</v>
      </c>
      <c r="AI31">
        <v>505</v>
      </c>
      <c r="AJ31">
        <v>1696</v>
      </c>
      <c r="AK31">
        <v>3.36</v>
      </c>
      <c r="AL31">
        <v>130.5</v>
      </c>
      <c r="AM31">
        <v>45</v>
      </c>
      <c r="AN31">
        <v>18</v>
      </c>
      <c r="AO31">
        <v>62</v>
      </c>
      <c r="AP31">
        <v>12</v>
      </c>
      <c r="AQ31">
        <v>38</v>
      </c>
      <c r="AR31">
        <v>222</v>
      </c>
      <c r="AS31">
        <v>2.92</v>
      </c>
      <c r="AT31">
        <v>403</v>
      </c>
      <c r="AU31">
        <v>87</v>
      </c>
      <c r="AV31">
        <v>6.7</v>
      </c>
      <c r="AW31">
        <v>16</v>
      </c>
      <c r="AX31">
        <v>19</v>
      </c>
      <c r="AY31">
        <f t="shared" si="0"/>
        <v>-3</v>
      </c>
      <c r="AZ31">
        <f>AY31/B31</f>
        <v>-0.23076923076923078</v>
      </c>
    </row>
    <row r="32" spans="1:52">
      <c r="A32" t="s">
        <v>82</v>
      </c>
      <c r="B32">
        <v>14</v>
      </c>
      <c r="C32" s="2">
        <v>12</v>
      </c>
      <c r="D32" s="2">
        <v>2</v>
      </c>
      <c r="E32" s="2">
        <f t="shared" si="1"/>
        <v>0.8571428571428571</v>
      </c>
      <c r="F32">
        <v>504</v>
      </c>
      <c r="G32">
        <v>36</v>
      </c>
      <c r="H32">
        <v>311</v>
      </c>
      <c r="I32">
        <v>22.2</v>
      </c>
      <c r="J32">
        <v>6179</v>
      </c>
      <c r="K32">
        <v>6.6</v>
      </c>
      <c r="L32">
        <v>64</v>
      </c>
      <c r="M32">
        <v>441.4</v>
      </c>
      <c r="N32">
        <v>5045</v>
      </c>
      <c r="O32">
        <v>5</v>
      </c>
      <c r="P32">
        <v>38</v>
      </c>
      <c r="Q32">
        <v>39</v>
      </c>
      <c r="R32">
        <v>360.4</v>
      </c>
      <c r="S32">
        <v>56</v>
      </c>
      <c r="T32">
        <v>480</v>
      </c>
      <c r="U32">
        <v>34.29</v>
      </c>
      <c r="V32">
        <v>8.74</v>
      </c>
      <c r="W32">
        <v>13.74</v>
      </c>
      <c r="X32">
        <v>236.6</v>
      </c>
      <c r="Y32">
        <v>6.29</v>
      </c>
      <c r="Z32">
        <v>10.52</v>
      </c>
      <c r="AA32">
        <v>208.1</v>
      </c>
      <c r="AB32">
        <v>70</v>
      </c>
      <c r="AC32">
        <v>546</v>
      </c>
      <c r="AD32">
        <v>2132</v>
      </c>
      <c r="AE32">
        <v>3.9</v>
      </c>
      <c r="AF32">
        <v>15</v>
      </c>
      <c r="AG32">
        <v>152.30000000000001</v>
      </c>
      <c r="AH32">
        <v>20</v>
      </c>
      <c r="AI32">
        <v>557</v>
      </c>
      <c r="AJ32">
        <v>2867</v>
      </c>
      <c r="AK32">
        <v>5.15</v>
      </c>
      <c r="AL32">
        <v>204.8</v>
      </c>
      <c r="AM32">
        <v>39</v>
      </c>
      <c r="AN32">
        <v>13</v>
      </c>
      <c r="AO32">
        <v>66</v>
      </c>
      <c r="AP32">
        <v>14</v>
      </c>
      <c r="AQ32">
        <v>29</v>
      </c>
      <c r="AR32">
        <v>149</v>
      </c>
      <c r="AS32">
        <v>2.0699999999999998</v>
      </c>
      <c r="AT32">
        <v>227</v>
      </c>
      <c r="AU32">
        <v>68</v>
      </c>
      <c r="AV32">
        <v>4.9000000000000004</v>
      </c>
      <c r="AW32">
        <v>21</v>
      </c>
      <c r="AX32">
        <v>16</v>
      </c>
      <c r="AY32">
        <f t="shared" si="0"/>
        <v>5</v>
      </c>
      <c r="AZ32">
        <f>AY32/B32</f>
        <v>0.35714285714285715</v>
      </c>
    </row>
    <row r="33" spans="1:52">
      <c r="A33" t="s">
        <v>83</v>
      </c>
      <c r="B33">
        <v>13</v>
      </c>
      <c r="C33" s="2">
        <v>6</v>
      </c>
      <c r="D33" s="2">
        <v>7</v>
      </c>
      <c r="E33" s="2">
        <f t="shared" si="1"/>
        <v>0.46153846153846156</v>
      </c>
      <c r="F33">
        <v>463</v>
      </c>
      <c r="G33">
        <v>35.6</v>
      </c>
      <c r="H33">
        <v>461</v>
      </c>
      <c r="I33">
        <v>35.5</v>
      </c>
      <c r="J33">
        <v>5702</v>
      </c>
      <c r="K33">
        <v>6.98</v>
      </c>
      <c r="L33">
        <v>61</v>
      </c>
      <c r="M33">
        <v>438.6</v>
      </c>
      <c r="N33">
        <v>6102</v>
      </c>
      <c r="O33">
        <v>6.15</v>
      </c>
      <c r="P33">
        <v>58</v>
      </c>
      <c r="Q33">
        <v>58</v>
      </c>
      <c r="R33">
        <v>469.4</v>
      </c>
      <c r="S33">
        <v>69</v>
      </c>
      <c r="T33">
        <v>605</v>
      </c>
      <c r="U33">
        <v>46.54</v>
      </c>
      <c r="V33">
        <v>8.91</v>
      </c>
      <c r="W33">
        <v>13.67</v>
      </c>
      <c r="X33">
        <v>254.4</v>
      </c>
      <c r="Y33">
        <v>7.9</v>
      </c>
      <c r="Z33">
        <v>12.21</v>
      </c>
      <c r="AA33">
        <v>260.2</v>
      </c>
      <c r="AB33">
        <v>125</v>
      </c>
      <c r="AC33">
        <v>564</v>
      </c>
      <c r="AD33">
        <v>2720</v>
      </c>
      <c r="AE33">
        <v>4.82</v>
      </c>
      <c r="AF33">
        <v>37</v>
      </c>
      <c r="AG33">
        <v>209.2</v>
      </c>
      <c r="AH33">
        <v>39</v>
      </c>
      <c r="AI33">
        <v>446</v>
      </c>
      <c r="AJ33">
        <v>2395</v>
      </c>
      <c r="AK33">
        <v>5.37</v>
      </c>
      <c r="AL33">
        <v>184.2</v>
      </c>
      <c r="AM33">
        <v>58</v>
      </c>
      <c r="AN33">
        <v>17</v>
      </c>
      <c r="AO33">
        <v>63</v>
      </c>
      <c r="AP33">
        <v>8</v>
      </c>
      <c r="AQ33">
        <v>12</v>
      </c>
      <c r="AR33">
        <v>68</v>
      </c>
      <c r="AS33">
        <v>0.92</v>
      </c>
      <c r="AT33">
        <v>226</v>
      </c>
      <c r="AU33">
        <v>61</v>
      </c>
      <c r="AV33">
        <v>4.7</v>
      </c>
      <c r="AW33">
        <v>22</v>
      </c>
      <c r="AX33">
        <v>19</v>
      </c>
      <c r="AY33">
        <f t="shared" si="0"/>
        <v>3</v>
      </c>
      <c r="AZ33">
        <f>AY33/B33</f>
        <v>0.23076923076923078</v>
      </c>
    </row>
    <row r="34" spans="1:52">
      <c r="A34" t="s">
        <v>84</v>
      </c>
      <c r="B34">
        <v>13</v>
      </c>
      <c r="C34" s="2">
        <v>7</v>
      </c>
      <c r="D34" s="2">
        <v>6</v>
      </c>
      <c r="E34" s="2">
        <f t="shared" si="1"/>
        <v>0.53846153846153844</v>
      </c>
      <c r="F34">
        <v>391</v>
      </c>
      <c r="G34">
        <v>30.1</v>
      </c>
      <c r="H34">
        <v>301</v>
      </c>
      <c r="I34">
        <v>23.2</v>
      </c>
      <c r="J34">
        <v>5697</v>
      </c>
      <c r="K34">
        <v>6.71</v>
      </c>
      <c r="L34">
        <v>47</v>
      </c>
      <c r="M34">
        <v>438.2</v>
      </c>
      <c r="N34">
        <v>4691</v>
      </c>
      <c r="O34">
        <v>5.34</v>
      </c>
      <c r="P34">
        <v>39</v>
      </c>
      <c r="Q34">
        <v>40</v>
      </c>
      <c r="R34">
        <v>360.8</v>
      </c>
      <c r="S34">
        <v>91</v>
      </c>
      <c r="T34">
        <v>787</v>
      </c>
      <c r="U34">
        <v>60.54</v>
      </c>
      <c r="V34">
        <v>8.2100000000000009</v>
      </c>
      <c r="W34">
        <v>13.58</v>
      </c>
      <c r="X34">
        <v>202.6</v>
      </c>
      <c r="Y34">
        <v>6.24</v>
      </c>
      <c r="Z34">
        <v>10.92</v>
      </c>
      <c r="AA34">
        <v>194.9</v>
      </c>
      <c r="AB34">
        <v>87</v>
      </c>
      <c r="AC34">
        <v>473</v>
      </c>
      <c r="AD34">
        <v>2157</v>
      </c>
      <c r="AE34">
        <v>4.5599999999999996</v>
      </c>
      <c r="AF34">
        <v>23</v>
      </c>
      <c r="AG34">
        <v>165.9</v>
      </c>
      <c r="AH34">
        <v>8</v>
      </c>
      <c r="AI34">
        <v>528</v>
      </c>
      <c r="AJ34">
        <v>3063</v>
      </c>
      <c r="AK34">
        <v>5.8</v>
      </c>
      <c r="AL34">
        <v>235.6</v>
      </c>
      <c r="AM34">
        <v>40</v>
      </c>
      <c r="AN34">
        <v>8</v>
      </c>
      <c r="AO34">
        <v>50</v>
      </c>
      <c r="AP34">
        <v>14</v>
      </c>
      <c r="AQ34">
        <v>21</v>
      </c>
      <c r="AR34">
        <v>134</v>
      </c>
      <c r="AS34">
        <v>1.62</v>
      </c>
      <c r="AT34">
        <v>224</v>
      </c>
      <c r="AU34">
        <v>62</v>
      </c>
      <c r="AV34">
        <v>4.8</v>
      </c>
      <c r="AW34">
        <v>18</v>
      </c>
      <c r="AX34">
        <v>18</v>
      </c>
      <c r="AY34">
        <f t="shared" si="0"/>
        <v>0</v>
      </c>
      <c r="AZ34">
        <f>AY34/B34</f>
        <v>0</v>
      </c>
    </row>
    <row r="35" spans="1:52">
      <c r="A35" t="s">
        <v>85</v>
      </c>
      <c r="B35">
        <v>13</v>
      </c>
      <c r="C35" s="2">
        <v>11</v>
      </c>
      <c r="D35" s="2">
        <v>2</v>
      </c>
      <c r="E35" s="2">
        <f t="shared" si="1"/>
        <v>0.84615384615384615</v>
      </c>
      <c r="F35">
        <v>465</v>
      </c>
      <c r="G35">
        <v>35.799999999999997</v>
      </c>
      <c r="H35">
        <v>237</v>
      </c>
      <c r="I35">
        <v>18.2</v>
      </c>
      <c r="J35">
        <v>5637</v>
      </c>
      <c r="K35">
        <v>6.19</v>
      </c>
      <c r="L35">
        <v>57</v>
      </c>
      <c r="M35">
        <v>433.6</v>
      </c>
      <c r="N35">
        <v>4205</v>
      </c>
      <c r="O35">
        <v>4.6100000000000003</v>
      </c>
      <c r="P35">
        <v>26</v>
      </c>
      <c r="Q35">
        <v>28</v>
      </c>
      <c r="R35">
        <v>323.5</v>
      </c>
      <c r="S35">
        <v>69</v>
      </c>
      <c r="T35">
        <v>628</v>
      </c>
      <c r="U35">
        <v>48.31</v>
      </c>
      <c r="V35">
        <v>7.78</v>
      </c>
      <c r="W35">
        <v>12.16</v>
      </c>
      <c r="X35">
        <v>252.5</v>
      </c>
      <c r="Y35">
        <v>5.8</v>
      </c>
      <c r="Z35">
        <v>11.13</v>
      </c>
      <c r="AA35">
        <v>212.3</v>
      </c>
      <c r="AB35">
        <v>17</v>
      </c>
      <c r="AC35">
        <v>436</v>
      </c>
      <c r="AD35">
        <v>1445</v>
      </c>
      <c r="AE35">
        <v>3.31</v>
      </c>
      <c r="AF35">
        <v>14</v>
      </c>
      <c r="AG35">
        <v>111.2</v>
      </c>
      <c r="AH35">
        <v>45</v>
      </c>
      <c r="AI35">
        <v>489</v>
      </c>
      <c r="AJ35">
        <v>2354</v>
      </c>
      <c r="AK35">
        <v>4.8099999999999996</v>
      </c>
      <c r="AL35">
        <v>181.1</v>
      </c>
      <c r="AM35">
        <v>28</v>
      </c>
      <c r="AN35">
        <v>14</v>
      </c>
      <c r="AO35">
        <v>61</v>
      </c>
      <c r="AP35">
        <v>13</v>
      </c>
      <c r="AQ35">
        <v>21</v>
      </c>
      <c r="AR35">
        <v>124</v>
      </c>
      <c r="AS35">
        <v>1.62</v>
      </c>
      <c r="AT35">
        <v>434</v>
      </c>
      <c r="AU35">
        <v>104</v>
      </c>
      <c r="AV35">
        <v>8</v>
      </c>
      <c r="AW35">
        <v>26</v>
      </c>
      <c r="AX35">
        <v>15</v>
      </c>
      <c r="AY35">
        <f t="shared" si="0"/>
        <v>11</v>
      </c>
      <c r="AZ35">
        <f>AY35/B35</f>
        <v>0.84615384615384615</v>
      </c>
    </row>
    <row r="36" spans="1:52">
      <c r="A36" t="s">
        <v>86</v>
      </c>
      <c r="B36">
        <v>13</v>
      </c>
      <c r="C36" s="2">
        <v>8</v>
      </c>
      <c r="D36" s="2">
        <v>5</v>
      </c>
      <c r="E36" s="2">
        <f t="shared" si="1"/>
        <v>0.61538461538461542</v>
      </c>
      <c r="F36">
        <v>448</v>
      </c>
      <c r="G36">
        <v>34.5</v>
      </c>
      <c r="H36">
        <v>281</v>
      </c>
      <c r="I36">
        <v>21.6</v>
      </c>
      <c r="J36">
        <v>5584</v>
      </c>
      <c r="K36">
        <v>6.38</v>
      </c>
      <c r="L36">
        <v>51</v>
      </c>
      <c r="M36">
        <v>429.5</v>
      </c>
      <c r="N36">
        <v>4789</v>
      </c>
      <c r="O36">
        <v>4.9400000000000004</v>
      </c>
      <c r="P36">
        <v>32</v>
      </c>
      <c r="Q36">
        <v>33</v>
      </c>
      <c r="R36">
        <v>368.4</v>
      </c>
      <c r="S36">
        <v>79</v>
      </c>
      <c r="T36">
        <v>615</v>
      </c>
      <c r="U36">
        <v>47.31</v>
      </c>
      <c r="V36">
        <v>7.75</v>
      </c>
      <c r="W36">
        <v>12.65</v>
      </c>
      <c r="X36">
        <v>241.4</v>
      </c>
      <c r="Y36">
        <v>6.3</v>
      </c>
      <c r="Z36">
        <v>10.02</v>
      </c>
      <c r="AA36">
        <v>242.7</v>
      </c>
      <c r="AB36">
        <v>33</v>
      </c>
      <c r="AC36">
        <v>469</v>
      </c>
      <c r="AD36">
        <v>1634</v>
      </c>
      <c r="AE36">
        <v>3.48</v>
      </c>
      <c r="AF36">
        <v>14</v>
      </c>
      <c r="AG36">
        <v>125.7</v>
      </c>
      <c r="AH36">
        <v>36</v>
      </c>
      <c r="AI36">
        <v>470</v>
      </c>
      <c r="AJ36">
        <v>2446</v>
      </c>
      <c r="AK36">
        <v>5.2</v>
      </c>
      <c r="AL36">
        <v>188.2</v>
      </c>
      <c r="AM36">
        <v>33</v>
      </c>
      <c r="AN36">
        <v>16</v>
      </c>
      <c r="AO36">
        <v>55</v>
      </c>
      <c r="AP36">
        <v>21</v>
      </c>
      <c r="AQ36">
        <v>19</v>
      </c>
      <c r="AR36">
        <v>148</v>
      </c>
      <c r="AS36">
        <v>1.46</v>
      </c>
      <c r="AT36">
        <v>312</v>
      </c>
      <c r="AU36">
        <v>87</v>
      </c>
      <c r="AV36">
        <v>6.7</v>
      </c>
      <c r="AW36">
        <v>14</v>
      </c>
      <c r="AX36">
        <v>12</v>
      </c>
      <c r="AY36">
        <f t="shared" si="0"/>
        <v>2</v>
      </c>
      <c r="AZ36">
        <f>AY36/B36</f>
        <v>0.15384615384615385</v>
      </c>
    </row>
    <row r="37" spans="1:52">
      <c r="A37" t="s">
        <v>87</v>
      </c>
      <c r="B37">
        <v>13</v>
      </c>
      <c r="C37" s="2">
        <v>8</v>
      </c>
      <c r="D37" s="2">
        <v>5</v>
      </c>
      <c r="E37" s="2">
        <f t="shared" si="1"/>
        <v>0.61538461538461542</v>
      </c>
      <c r="F37">
        <v>407</v>
      </c>
      <c r="G37">
        <v>31.3</v>
      </c>
      <c r="H37">
        <v>383</v>
      </c>
      <c r="I37">
        <v>29.5</v>
      </c>
      <c r="J37">
        <v>5542</v>
      </c>
      <c r="K37">
        <v>6.68</v>
      </c>
      <c r="L37">
        <v>51</v>
      </c>
      <c r="M37">
        <v>426.3</v>
      </c>
      <c r="N37">
        <v>5305</v>
      </c>
      <c r="O37">
        <v>5.87</v>
      </c>
      <c r="P37">
        <v>47</v>
      </c>
      <c r="Q37">
        <v>48</v>
      </c>
      <c r="R37">
        <v>408.1</v>
      </c>
      <c r="S37">
        <v>76</v>
      </c>
      <c r="T37">
        <v>702</v>
      </c>
      <c r="U37">
        <v>54</v>
      </c>
      <c r="V37">
        <v>8.2799999999999994</v>
      </c>
      <c r="W37">
        <v>12.63</v>
      </c>
      <c r="X37">
        <v>249.7</v>
      </c>
      <c r="Y37">
        <v>7.47</v>
      </c>
      <c r="Z37">
        <v>11.16</v>
      </c>
      <c r="AA37">
        <v>234.3</v>
      </c>
      <c r="AB37">
        <v>98</v>
      </c>
      <c r="AC37">
        <v>496</v>
      </c>
      <c r="AD37">
        <v>2259</v>
      </c>
      <c r="AE37">
        <v>4.55</v>
      </c>
      <c r="AF37">
        <v>22</v>
      </c>
      <c r="AG37">
        <v>173.8</v>
      </c>
      <c r="AH37">
        <v>49</v>
      </c>
      <c r="AI37">
        <v>438</v>
      </c>
      <c r="AJ37">
        <v>2296</v>
      </c>
      <c r="AK37">
        <v>5.24</v>
      </c>
      <c r="AL37">
        <v>176.6</v>
      </c>
      <c r="AM37">
        <v>48</v>
      </c>
      <c r="AN37">
        <v>17</v>
      </c>
      <c r="AO37">
        <v>54</v>
      </c>
      <c r="AP37">
        <v>10</v>
      </c>
      <c r="AQ37">
        <v>13</v>
      </c>
      <c r="AR37">
        <v>69</v>
      </c>
      <c r="AS37">
        <v>1</v>
      </c>
      <c r="AT37">
        <v>225</v>
      </c>
      <c r="AU37">
        <v>50</v>
      </c>
      <c r="AV37">
        <v>3.8</v>
      </c>
      <c r="AW37">
        <v>12</v>
      </c>
      <c r="AX37">
        <v>10</v>
      </c>
      <c r="AY37">
        <f t="shared" si="0"/>
        <v>2</v>
      </c>
      <c r="AZ37">
        <f>AY37/B37</f>
        <v>0.15384615384615385</v>
      </c>
    </row>
    <row r="38" spans="1:52">
      <c r="A38" t="s">
        <v>88</v>
      </c>
      <c r="B38">
        <v>13</v>
      </c>
      <c r="C38" s="2">
        <v>6</v>
      </c>
      <c r="D38" s="2">
        <v>7</v>
      </c>
      <c r="E38" s="2">
        <f t="shared" si="1"/>
        <v>0.46153846153846156</v>
      </c>
      <c r="F38">
        <v>384</v>
      </c>
      <c r="G38">
        <v>29.5</v>
      </c>
      <c r="H38">
        <v>375</v>
      </c>
      <c r="I38">
        <v>28.8</v>
      </c>
      <c r="J38">
        <v>5513</v>
      </c>
      <c r="K38">
        <v>6.58</v>
      </c>
      <c r="L38">
        <v>47</v>
      </c>
      <c r="M38">
        <v>424.1</v>
      </c>
      <c r="N38">
        <v>5343</v>
      </c>
      <c r="O38">
        <v>5.92</v>
      </c>
      <c r="P38">
        <v>46</v>
      </c>
      <c r="Q38">
        <v>48</v>
      </c>
      <c r="R38">
        <v>411</v>
      </c>
      <c r="S38">
        <v>89</v>
      </c>
      <c r="T38">
        <v>651</v>
      </c>
      <c r="U38">
        <v>50.08</v>
      </c>
      <c r="V38">
        <v>7.95</v>
      </c>
      <c r="W38">
        <v>14.62</v>
      </c>
      <c r="X38">
        <v>223.8</v>
      </c>
      <c r="Y38">
        <v>7.74</v>
      </c>
      <c r="Z38">
        <v>12.77</v>
      </c>
      <c r="AA38">
        <v>235.8</v>
      </c>
      <c r="AB38">
        <v>100</v>
      </c>
      <c r="AC38">
        <v>507</v>
      </c>
      <c r="AD38">
        <v>2278</v>
      </c>
      <c r="AE38">
        <v>4.49</v>
      </c>
      <c r="AF38">
        <v>29</v>
      </c>
      <c r="AG38">
        <v>175.2</v>
      </c>
      <c r="AH38">
        <v>24</v>
      </c>
      <c r="AI38">
        <v>472</v>
      </c>
      <c r="AJ38">
        <v>2603</v>
      </c>
      <c r="AK38">
        <v>5.51</v>
      </c>
      <c r="AL38">
        <v>200.2</v>
      </c>
      <c r="AM38">
        <v>48</v>
      </c>
      <c r="AN38">
        <v>14</v>
      </c>
      <c r="AO38">
        <v>49</v>
      </c>
      <c r="AP38">
        <v>14</v>
      </c>
      <c r="AQ38">
        <v>16</v>
      </c>
      <c r="AR38">
        <v>96</v>
      </c>
      <c r="AS38">
        <v>1.23</v>
      </c>
      <c r="AT38">
        <v>252</v>
      </c>
      <c r="AU38">
        <v>70</v>
      </c>
      <c r="AV38">
        <v>5.4</v>
      </c>
      <c r="AW38">
        <v>24</v>
      </c>
      <c r="AX38">
        <v>14</v>
      </c>
      <c r="AY38">
        <f t="shared" si="0"/>
        <v>10</v>
      </c>
      <c r="AZ38">
        <f>AY38/B38</f>
        <v>0.76923076923076927</v>
      </c>
    </row>
    <row r="39" spans="1:52">
      <c r="A39" t="s">
        <v>89</v>
      </c>
      <c r="B39">
        <v>13</v>
      </c>
      <c r="C39" s="2">
        <v>10</v>
      </c>
      <c r="D39" s="2">
        <v>3</v>
      </c>
      <c r="E39" s="2">
        <f t="shared" si="1"/>
        <v>0.76923076923076927</v>
      </c>
      <c r="F39">
        <v>406</v>
      </c>
      <c r="G39">
        <v>31.2</v>
      </c>
      <c r="H39">
        <v>277</v>
      </c>
      <c r="I39">
        <v>21.3</v>
      </c>
      <c r="J39">
        <v>5508</v>
      </c>
      <c r="K39">
        <v>5.78</v>
      </c>
      <c r="L39">
        <v>47</v>
      </c>
      <c r="M39">
        <v>423.7</v>
      </c>
      <c r="N39">
        <v>4310</v>
      </c>
      <c r="O39">
        <v>5.13</v>
      </c>
      <c r="P39">
        <v>30</v>
      </c>
      <c r="Q39">
        <v>32</v>
      </c>
      <c r="R39">
        <v>331.5</v>
      </c>
      <c r="S39">
        <v>101</v>
      </c>
      <c r="T39">
        <v>920</v>
      </c>
      <c r="U39">
        <v>70.77</v>
      </c>
      <c r="V39">
        <v>7.75</v>
      </c>
      <c r="W39">
        <v>11.92</v>
      </c>
      <c r="X39">
        <v>266.89999999999998</v>
      </c>
      <c r="Y39">
        <v>6.57</v>
      </c>
      <c r="Z39">
        <v>11.08</v>
      </c>
      <c r="AA39">
        <v>238.6</v>
      </c>
      <c r="AB39">
        <v>4</v>
      </c>
      <c r="AC39">
        <v>368</v>
      </c>
      <c r="AD39">
        <v>1208</v>
      </c>
      <c r="AE39">
        <v>3.28</v>
      </c>
      <c r="AF39">
        <v>8</v>
      </c>
      <c r="AG39">
        <v>92.9</v>
      </c>
      <c r="AH39">
        <v>63</v>
      </c>
      <c r="AI39">
        <v>505</v>
      </c>
      <c r="AJ39">
        <v>2038</v>
      </c>
      <c r="AK39">
        <v>4.04</v>
      </c>
      <c r="AL39">
        <v>156.80000000000001</v>
      </c>
      <c r="AM39">
        <v>32</v>
      </c>
      <c r="AN39">
        <v>18</v>
      </c>
      <c r="AO39">
        <v>50</v>
      </c>
      <c r="AP39">
        <v>18</v>
      </c>
      <c r="AQ39">
        <v>26</v>
      </c>
      <c r="AR39">
        <v>161</v>
      </c>
      <c r="AS39">
        <v>2</v>
      </c>
      <c r="AT39">
        <v>341</v>
      </c>
      <c r="AU39">
        <v>82</v>
      </c>
      <c r="AV39">
        <v>6.3</v>
      </c>
      <c r="AW39">
        <v>20</v>
      </c>
      <c r="AX39">
        <v>16</v>
      </c>
      <c r="AY39">
        <f t="shared" si="0"/>
        <v>4</v>
      </c>
      <c r="AZ39">
        <f>AY39/B39</f>
        <v>0.30769230769230771</v>
      </c>
    </row>
    <row r="40" spans="1:52">
      <c r="A40" t="s">
        <v>90</v>
      </c>
      <c r="B40">
        <v>13</v>
      </c>
      <c r="C40" s="2">
        <v>7</v>
      </c>
      <c r="D40" s="2">
        <v>6</v>
      </c>
      <c r="E40" s="2">
        <f t="shared" si="1"/>
        <v>0.53846153846153844</v>
      </c>
      <c r="F40">
        <v>459</v>
      </c>
      <c r="G40">
        <v>35.299999999999997</v>
      </c>
      <c r="H40">
        <v>338</v>
      </c>
      <c r="I40">
        <v>26</v>
      </c>
      <c r="J40">
        <v>5478</v>
      </c>
      <c r="K40">
        <v>5.78</v>
      </c>
      <c r="L40">
        <v>53</v>
      </c>
      <c r="M40">
        <v>421.4</v>
      </c>
      <c r="N40">
        <v>4724</v>
      </c>
      <c r="O40">
        <v>5.26</v>
      </c>
      <c r="P40">
        <v>41</v>
      </c>
      <c r="Q40">
        <v>44</v>
      </c>
      <c r="R40">
        <v>363.4</v>
      </c>
      <c r="S40">
        <v>53</v>
      </c>
      <c r="T40">
        <v>479</v>
      </c>
      <c r="U40">
        <v>36.85</v>
      </c>
      <c r="V40">
        <v>7.99</v>
      </c>
      <c r="W40">
        <v>12.51</v>
      </c>
      <c r="X40">
        <v>279.2</v>
      </c>
      <c r="Y40">
        <v>6.99</v>
      </c>
      <c r="Z40">
        <v>11.12</v>
      </c>
      <c r="AA40">
        <v>241.3</v>
      </c>
      <c r="AB40">
        <v>28</v>
      </c>
      <c r="AC40">
        <v>449</v>
      </c>
      <c r="AD40">
        <v>1587</v>
      </c>
      <c r="AE40">
        <v>3.53</v>
      </c>
      <c r="AF40">
        <v>17</v>
      </c>
      <c r="AG40">
        <v>122.1</v>
      </c>
      <c r="AH40">
        <v>75</v>
      </c>
      <c r="AI40">
        <v>493</v>
      </c>
      <c r="AJ40">
        <v>1849</v>
      </c>
      <c r="AK40">
        <v>3.75</v>
      </c>
      <c r="AL40">
        <v>142.19999999999999</v>
      </c>
      <c r="AM40">
        <v>44</v>
      </c>
      <c r="AN40">
        <v>10</v>
      </c>
      <c r="AO40">
        <v>57</v>
      </c>
      <c r="AP40">
        <v>21</v>
      </c>
      <c r="AQ40">
        <v>37</v>
      </c>
      <c r="AR40">
        <v>237</v>
      </c>
      <c r="AS40">
        <v>2.85</v>
      </c>
      <c r="AT40">
        <v>210</v>
      </c>
      <c r="AU40">
        <v>63</v>
      </c>
      <c r="AV40">
        <v>4.8</v>
      </c>
      <c r="AW40">
        <v>22</v>
      </c>
      <c r="AX40">
        <v>16</v>
      </c>
      <c r="AY40">
        <f t="shared" si="0"/>
        <v>6</v>
      </c>
      <c r="AZ40">
        <f>AY40/B40</f>
        <v>0.46153846153846156</v>
      </c>
    </row>
    <row r="41" spans="1:52">
      <c r="A41" t="s">
        <v>91</v>
      </c>
      <c r="B41">
        <v>14</v>
      </c>
      <c r="C41" s="2">
        <v>10</v>
      </c>
      <c r="D41" s="2">
        <v>4</v>
      </c>
      <c r="E41" s="2">
        <f t="shared" si="1"/>
        <v>0.7142857142857143</v>
      </c>
      <c r="F41">
        <v>445</v>
      </c>
      <c r="G41">
        <v>31.8</v>
      </c>
      <c r="H41">
        <v>396</v>
      </c>
      <c r="I41">
        <v>28.3</v>
      </c>
      <c r="J41">
        <v>5897</v>
      </c>
      <c r="K41">
        <v>6.16</v>
      </c>
      <c r="L41">
        <v>51</v>
      </c>
      <c r="M41">
        <v>421.2</v>
      </c>
      <c r="N41">
        <v>5977</v>
      </c>
      <c r="O41">
        <v>6.16</v>
      </c>
      <c r="P41">
        <v>48</v>
      </c>
      <c r="Q41">
        <v>49</v>
      </c>
      <c r="R41">
        <v>426.9</v>
      </c>
      <c r="S41">
        <v>69</v>
      </c>
      <c r="T41">
        <v>618</v>
      </c>
      <c r="U41">
        <v>44.14</v>
      </c>
      <c r="V41">
        <v>8.39</v>
      </c>
      <c r="W41">
        <v>12.89</v>
      </c>
      <c r="X41">
        <v>278.10000000000002</v>
      </c>
      <c r="Y41">
        <v>7.84</v>
      </c>
      <c r="Z41">
        <v>12.02</v>
      </c>
      <c r="AA41">
        <v>286</v>
      </c>
      <c r="AB41">
        <v>50</v>
      </c>
      <c r="AC41">
        <v>460</v>
      </c>
      <c r="AD41">
        <v>1973</v>
      </c>
      <c r="AE41">
        <v>4.29</v>
      </c>
      <c r="AF41">
        <v>19</v>
      </c>
      <c r="AG41">
        <v>140.9</v>
      </c>
      <c r="AH41">
        <v>73</v>
      </c>
      <c r="AI41">
        <v>493</v>
      </c>
      <c r="AJ41">
        <v>2003</v>
      </c>
      <c r="AK41">
        <v>4.0599999999999996</v>
      </c>
      <c r="AL41">
        <v>143.1</v>
      </c>
      <c r="AM41">
        <v>49</v>
      </c>
      <c r="AN41">
        <v>17</v>
      </c>
      <c r="AO41">
        <v>54</v>
      </c>
      <c r="AP41">
        <v>22</v>
      </c>
      <c r="AQ41">
        <v>25</v>
      </c>
      <c r="AR41">
        <v>188</v>
      </c>
      <c r="AS41">
        <v>1.79</v>
      </c>
      <c r="AT41">
        <v>403</v>
      </c>
      <c r="AU41">
        <v>92</v>
      </c>
      <c r="AV41">
        <v>6.6</v>
      </c>
      <c r="AW41">
        <v>25</v>
      </c>
      <c r="AX41">
        <v>13</v>
      </c>
      <c r="AY41">
        <f t="shared" si="0"/>
        <v>12</v>
      </c>
      <c r="AZ41">
        <f>AY41/B41</f>
        <v>0.8571428571428571</v>
      </c>
    </row>
    <row r="42" spans="1:52">
      <c r="A42" t="s">
        <v>92</v>
      </c>
      <c r="B42">
        <v>14</v>
      </c>
      <c r="C42" s="2">
        <v>10</v>
      </c>
      <c r="D42" s="2">
        <v>4</v>
      </c>
      <c r="E42" s="2">
        <f t="shared" si="1"/>
        <v>0.7142857142857143</v>
      </c>
      <c r="F42">
        <v>452</v>
      </c>
      <c r="G42">
        <v>32.299999999999997</v>
      </c>
      <c r="H42">
        <v>306</v>
      </c>
      <c r="I42">
        <v>21.9</v>
      </c>
      <c r="J42">
        <v>5863</v>
      </c>
      <c r="K42">
        <v>6.12</v>
      </c>
      <c r="L42">
        <v>53</v>
      </c>
      <c r="M42">
        <v>418.8</v>
      </c>
      <c r="N42">
        <v>5252</v>
      </c>
      <c r="O42">
        <v>5.54</v>
      </c>
      <c r="P42">
        <v>36</v>
      </c>
      <c r="Q42">
        <v>37</v>
      </c>
      <c r="R42">
        <v>375.1</v>
      </c>
      <c r="S42">
        <v>74</v>
      </c>
      <c r="T42">
        <v>601</v>
      </c>
      <c r="U42">
        <v>42.93</v>
      </c>
      <c r="V42">
        <v>7.58</v>
      </c>
      <c r="W42">
        <v>12.18</v>
      </c>
      <c r="X42">
        <v>210.5</v>
      </c>
      <c r="Y42">
        <v>6.78</v>
      </c>
      <c r="Z42">
        <v>11.63</v>
      </c>
      <c r="AA42">
        <v>224.4</v>
      </c>
      <c r="AB42">
        <v>69</v>
      </c>
      <c r="AC42">
        <v>485</v>
      </c>
      <c r="AD42">
        <v>2111</v>
      </c>
      <c r="AE42">
        <v>4.3499999999999996</v>
      </c>
      <c r="AF42">
        <v>15</v>
      </c>
      <c r="AG42">
        <v>150.80000000000001</v>
      </c>
      <c r="AH42">
        <v>15</v>
      </c>
      <c r="AI42">
        <v>569</v>
      </c>
      <c r="AJ42">
        <v>2916</v>
      </c>
      <c r="AK42">
        <v>5.12</v>
      </c>
      <c r="AL42">
        <v>208.3</v>
      </c>
      <c r="AM42">
        <v>37</v>
      </c>
      <c r="AN42">
        <v>17</v>
      </c>
      <c r="AO42">
        <v>56</v>
      </c>
      <c r="AP42">
        <v>20</v>
      </c>
      <c r="AQ42">
        <v>21</v>
      </c>
      <c r="AR42">
        <v>140</v>
      </c>
      <c r="AS42">
        <v>1.5</v>
      </c>
      <c r="AT42">
        <v>305</v>
      </c>
      <c r="AU42">
        <v>70</v>
      </c>
      <c r="AV42">
        <v>5</v>
      </c>
      <c r="AW42">
        <v>24</v>
      </c>
      <c r="AX42">
        <v>12</v>
      </c>
      <c r="AY42">
        <f t="shared" si="0"/>
        <v>12</v>
      </c>
      <c r="AZ42">
        <f>AY42/B42</f>
        <v>0.8571428571428571</v>
      </c>
    </row>
    <row r="43" spans="1:52">
      <c r="A43" t="s">
        <v>93</v>
      </c>
      <c r="B43">
        <v>12</v>
      </c>
      <c r="C43" s="2">
        <v>5</v>
      </c>
      <c r="D43" s="2">
        <v>7</v>
      </c>
      <c r="E43" s="2">
        <f t="shared" si="1"/>
        <v>0.41666666666666669</v>
      </c>
      <c r="F43">
        <v>341</v>
      </c>
      <c r="G43">
        <v>28.4</v>
      </c>
      <c r="H43">
        <v>348</v>
      </c>
      <c r="I43">
        <v>29</v>
      </c>
      <c r="J43">
        <v>5007</v>
      </c>
      <c r="K43">
        <v>5.78</v>
      </c>
      <c r="L43">
        <v>40</v>
      </c>
      <c r="M43">
        <v>417.2</v>
      </c>
      <c r="N43">
        <v>5199</v>
      </c>
      <c r="O43">
        <v>5.79</v>
      </c>
      <c r="P43">
        <v>42</v>
      </c>
      <c r="Q43">
        <v>42</v>
      </c>
      <c r="R43">
        <v>433.2</v>
      </c>
      <c r="S43">
        <v>81</v>
      </c>
      <c r="T43">
        <v>657</v>
      </c>
      <c r="U43">
        <v>54.75</v>
      </c>
      <c r="V43">
        <v>7.4</v>
      </c>
      <c r="W43">
        <v>13.31</v>
      </c>
      <c r="X43">
        <v>215.2</v>
      </c>
      <c r="Y43">
        <v>8.15</v>
      </c>
      <c r="Z43">
        <v>11.67</v>
      </c>
      <c r="AA43">
        <v>273.2</v>
      </c>
      <c r="AB43">
        <v>81</v>
      </c>
      <c r="AC43">
        <v>496</v>
      </c>
      <c r="AD43">
        <v>1921</v>
      </c>
      <c r="AE43">
        <v>3.87</v>
      </c>
      <c r="AF43">
        <v>19</v>
      </c>
      <c r="AG43">
        <v>160.1</v>
      </c>
      <c r="AH43">
        <v>22</v>
      </c>
      <c r="AI43">
        <v>517</v>
      </c>
      <c r="AJ43">
        <v>2425</v>
      </c>
      <c r="AK43">
        <v>4.6900000000000004</v>
      </c>
      <c r="AL43">
        <v>202.1</v>
      </c>
      <c r="AM43">
        <v>42</v>
      </c>
      <c r="AN43">
        <v>17</v>
      </c>
      <c r="AO43">
        <v>42</v>
      </c>
      <c r="AP43">
        <v>17</v>
      </c>
      <c r="AQ43">
        <v>21</v>
      </c>
      <c r="AR43">
        <v>130</v>
      </c>
      <c r="AS43">
        <v>1.75</v>
      </c>
      <c r="AT43">
        <v>241</v>
      </c>
      <c r="AU43">
        <v>70</v>
      </c>
      <c r="AV43">
        <v>5.8</v>
      </c>
      <c r="AW43">
        <v>13</v>
      </c>
      <c r="AX43">
        <v>13</v>
      </c>
      <c r="AY43">
        <f t="shared" si="0"/>
        <v>0</v>
      </c>
      <c r="AZ43">
        <f>AY43/B43</f>
        <v>0</v>
      </c>
    </row>
    <row r="44" spans="1:52">
      <c r="A44" t="s">
        <v>94</v>
      </c>
      <c r="B44">
        <v>12</v>
      </c>
      <c r="C44" s="2">
        <v>4</v>
      </c>
      <c r="D44" s="2">
        <v>8</v>
      </c>
      <c r="E44" s="2">
        <f t="shared" si="1"/>
        <v>0.33333333333333331</v>
      </c>
      <c r="F44">
        <v>360</v>
      </c>
      <c r="G44">
        <v>30</v>
      </c>
      <c r="H44">
        <v>374</v>
      </c>
      <c r="I44">
        <v>31.2</v>
      </c>
      <c r="J44">
        <v>5005</v>
      </c>
      <c r="K44">
        <v>5.72</v>
      </c>
      <c r="L44">
        <v>44</v>
      </c>
      <c r="M44">
        <v>417.1</v>
      </c>
      <c r="N44">
        <v>4792</v>
      </c>
      <c r="O44">
        <v>5.73</v>
      </c>
      <c r="P44">
        <v>44</v>
      </c>
      <c r="Q44">
        <v>49</v>
      </c>
      <c r="R44">
        <v>399.3</v>
      </c>
      <c r="S44">
        <v>85</v>
      </c>
      <c r="T44">
        <v>779</v>
      </c>
      <c r="U44">
        <v>64.92</v>
      </c>
      <c r="V44">
        <v>8.1999999999999993</v>
      </c>
      <c r="W44">
        <v>14.04</v>
      </c>
      <c r="X44">
        <v>203.6</v>
      </c>
      <c r="Y44">
        <v>7.63</v>
      </c>
      <c r="Z44">
        <v>12.65</v>
      </c>
      <c r="AA44">
        <v>228.8</v>
      </c>
      <c r="AB44">
        <v>95</v>
      </c>
      <c r="AC44">
        <v>476</v>
      </c>
      <c r="AD44">
        <v>2046</v>
      </c>
      <c r="AE44">
        <v>4.3</v>
      </c>
      <c r="AF44">
        <v>22</v>
      </c>
      <c r="AG44">
        <v>170.5</v>
      </c>
      <c r="AH44">
        <v>14</v>
      </c>
      <c r="AI44">
        <v>577</v>
      </c>
      <c r="AJ44">
        <v>2562</v>
      </c>
      <c r="AK44">
        <v>4.4400000000000004</v>
      </c>
      <c r="AL44">
        <v>213.5</v>
      </c>
      <c r="AM44">
        <v>49</v>
      </c>
      <c r="AN44">
        <v>10</v>
      </c>
      <c r="AO44">
        <v>47</v>
      </c>
      <c r="AP44">
        <v>11</v>
      </c>
      <c r="AQ44">
        <v>34</v>
      </c>
      <c r="AR44">
        <v>174</v>
      </c>
      <c r="AS44">
        <v>2.83</v>
      </c>
      <c r="AT44">
        <v>286</v>
      </c>
      <c r="AU44">
        <v>74</v>
      </c>
      <c r="AV44">
        <v>6.2</v>
      </c>
      <c r="AW44">
        <v>25</v>
      </c>
      <c r="AX44">
        <v>20</v>
      </c>
      <c r="AY44">
        <f t="shared" si="0"/>
        <v>5</v>
      </c>
      <c r="AZ44">
        <f>AY44/B44</f>
        <v>0.41666666666666669</v>
      </c>
    </row>
    <row r="45" spans="1:52">
      <c r="A45" t="s">
        <v>95</v>
      </c>
      <c r="B45">
        <v>13</v>
      </c>
      <c r="C45" s="2">
        <v>9</v>
      </c>
      <c r="D45" s="2">
        <v>4</v>
      </c>
      <c r="E45" s="2">
        <f t="shared" si="1"/>
        <v>0.69230769230769229</v>
      </c>
      <c r="F45">
        <v>427</v>
      </c>
      <c r="G45">
        <v>32.799999999999997</v>
      </c>
      <c r="H45">
        <v>287</v>
      </c>
      <c r="I45">
        <v>22.1</v>
      </c>
      <c r="J45">
        <v>5404</v>
      </c>
      <c r="K45">
        <v>6.11</v>
      </c>
      <c r="L45">
        <v>51</v>
      </c>
      <c r="M45">
        <v>415.7</v>
      </c>
      <c r="N45">
        <v>4926</v>
      </c>
      <c r="O45">
        <v>5.53</v>
      </c>
      <c r="P45">
        <v>35</v>
      </c>
      <c r="Q45">
        <v>36</v>
      </c>
      <c r="R45">
        <v>378.9</v>
      </c>
      <c r="S45">
        <v>68</v>
      </c>
      <c r="T45">
        <v>657</v>
      </c>
      <c r="U45">
        <v>50.54</v>
      </c>
      <c r="V45">
        <v>7.52</v>
      </c>
      <c r="W45">
        <v>11.8</v>
      </c>
      <c r="X45">
        <v>231.5</v>
      </c>
      <c r="Y45">
        <v>7.19</v>
      </c>
      <c r="Z45">
        <v>11.82</v>
      </c>
      <c r="AA45">
        <v>257.3</v>
      </c>
      <c r="AB45">
        <v>27</v>
      </c>
      <c r="AC45">
        <v>426</v>
      </c>
      <c r="AD45">
        <v>1581</v>
      </c>
      <c r="AE45">
        <v>3.71</v>
      </c>
      <c r="AF45">
        <v>10</v>
      </c>
      <c r="AG45">
        <v>121.6</v>
      </c>
      <c r="AH45">
        <v>40</v>
      </c>
      <c r="AI45">
        <v>484</v>
      </c>
      <c r="AJ45">
        <v>2394</v>
      </c>
      <c r="AK45">
        <v>4.95</v>
      </c>
      <c r="AL45">
        <v>184.2</v>
      </c>
      <c r="AM45">
        <v>36</v>
      </c>
      <c r="AN45">
        <v>12</v>
      </c>
      <c r="AO45">
        <v>54</v>
      </c>
      <c r="AP45">
        <v>17</v>
      </c>
      <c r="AQ45">
        <v>17</v>
      </c>
      <c r="AR45">
        <v>107</v>
      </c>
      <c r="AS45">
        <v>1.31</v>
      </c>
      <c r="AT45">
        <v>373</v>
      </c>
      <c r="AU45">
        <v>70</v>
      </c>
      <c r="AV45">
        <v>5.4</v>
      </c>
      <c r="AW45">
        <v>26</v>
      </c>
      <c r="AX45">
        <v>10</v>
      </c>
      <c r="AY45">
        <f t="shared" si="0"/>
        <v>16</v>
      </c>
      <c r="AZ45">
        <f>AY45/B45</f>
        <v>1.2307692307692308</v>
      </c>
    </row>
    <row r="46" spans="1:52">
      <c r="A46" t="s">
        <v>96</v>
      </c>
      <c r="B46">
        <v>13</v>
      </c>
      <c r="C46" s="2">
        <v>6</v>
      </c>
      <c r="D46" s="2">
        <v>7</v>
      </c>
      <c r="E46" s="2">
        <f t="shared" si="1"/>
        <v>0.46153846153846156</v>
      </c>
      <c r="F46">
        <v>418</v>
      </c>
      <c r="G46">
        <v>32.200000000000003</v>
      </c>
      <c r="H46">
        <v>349</v>
      </c>
      <c r="I46">
        <v>26.8</v>
      </c>
      <c r="J46">
        <v>5380</v>
      </c>
      <c r="K46">
        <v>5.8</v>
      </c>
      <c r="L46">
        <v>53</v>
      </c>
      <c r="M46">
        <v>413.8</v>
      </c>
      <c r="N46">
        <v>4823</v>
      </c>
      <c r="O46">
        <v>5.37</v>
      </c>
      <c r="P46">
        <v>42</v>
      </c>
      <c r="Q46">
        <v>44</v>
      </c>
      <c r="R46">
        <v>371</v>
      </c>
      <c r="S46">
        <v>62</v>
      </c>
      <c r="T46">
        <v>534</v>
      </c>
      <c r="U46">
        <v>41.08</v>
      </c>
      <c r="V46">
        <v>7.68</v>
      </c>
      <c r="W46">
        <v>12.18</v>
      </c>
      <c r="X46">
        <v>231.5</v>
      </c>
      <c r="Y46">
        <v>7.2</v>
      </c>
      <c r="Z46">
        <v>11.82</v>
      </c>
      <c r="AA46">
        <v>222.8</v>
      </c>
      <c r="AB46">
        <v>62</v>
      </c>
      <c r="AC46">
        <v>496</v>
      </c>
      <c r="AD46">
        <v>1927</v>
      </c>
      <c r="AE46">
        <v>3.89</v>
      </c>
      <c r="AF46">
        <v>25</v>
      </c>
      <c r="AG46">
        <v>148.19999999999999</v>
      </c>
      <c r="AH46">
        <v>43</v>
      </c>
      <c r="AI46">
        <v>535</v>
      </c>
      <c r="AJ46">
        <v>2371</v>
      </c>
      <c r="AK46">
        <v>4.43</v>
      </c>
      <c r="AL46">
        <v>182.4</v>
      </c>
      <c r="AM46">
        <v>44</v>
      </c>
      <c r="AN46">
        <v>14</v>
      </c>
      <c r="AO46">
        <v>56</v>
      </c>
      <c r="AP46">
        <v>8</v>
      </c>
      <c r="AQ46">
        <v>22</v>
      </c>
      <c r="AR46">
        <v>143</v>
      </c>
      <c r="AS46">
        <v>1.69</v>
      </c>
      <c r="AT46">
        <v>253</v>
      </c>
      <c r="AU46">
        <v>63</v>
      </c>
      <c r="AV46">
        <v>4.8</v>
      </c>
      <c r="AW46">
        <v>19</v>
      </c>
      <c r="AX46">
        <v>17</v>
      </c>
      <c r="AY46">
        <f t="shared" si="0"/>
        <v>2</v>
      </c>
      <c r="AZ46">
        <f>AY46/B46</f>
        <v>0.15384615384615385</v>
      </c>
    </row>
    <row r="47" spans="1:52">
      <c r="A47" t="s">
        <v>97</v>
      </c>
      <c r="B47">
        <v>12</v>
      </c>
      <c r="C47" s="2">
        <v>5</v>
      </c>
      <c r="D47" s="2">
        <v>7</v>
      </c>
      <c r="E47" s="2">
        <f t="shared" si="1"/>
        <v>0.41666666666666669</v>
      </c>
      <c r="F47">
        <v>367</v>
      </c>
      <c r="G47">
        <v>30.6</v>
      </c>
      <c r="H47">
        <v>397</v>
      </c>
      <c r="I47">
        <v>33.1</v>
      </c>
      <c r="J47">
        <v>4942</v>
      </c>
      <c r="K47">
        <v>5.86</v>
      </c>
      <c r="L47">
        <v>45</v>
      </c>
      <c r="M47">
        <v>411.8</v>
      </c>
      <c r="N47">
        <v>4971</v>
      </c>
      <c r="O47">
        <v>5.88</v>
      </c>
      <c r="P47">
        <v>41</v>
      </c>
      <c r="Q47">
        <v>47</v>
      </c>
      <c r="R47">
        <v>414.2</v>
      </c>
      <c r="S47">
        <v>74</v>
      </c>
      <c r="T47">
        <v>685</v>
      </c>
      <c r="U47">
        <v>57.08</v>
      </c>
      <c r="V47">
        <v>7.92</v>
      </c>
      <c r="W47">
        <v>13.6</v>
      </c>
      <c r="X47">
        <v>273.2</v>
      </c>
      <c r="Y47">
        <v>7.33</v>
      </c>
      <c r="Z47">
        <v>12.7</v>
      </c>
      <c r="AA47">
        <v>206.3</v>
      </c>
      <c r="AB47">
        <v>122</v>
      </c>
      <c r="AC47">
        <v>508</v>
      </c>
      <c r="AD47">
        <v>2495</v>
      </c>
      <c r="AE47">
        <v>4.91</v>
      </c>
      <c r="AF47">
        <v>20</v>
      </c>
      <c r="AG47">
        <v>207.9</v>
      </c>
      <c r="AH47">
        <v>85</v>
      </c>
      <c r="AI47">
        <v>429</v>
      </c>
      <c r="AJ47">
        <v>1664</v>
      </c>
      <c r="AK47">
        <v>3.88</v>
      </c>
      <c r="AL47">
        <v>138.69999999999999</v>
      </c>
      <c r="AM47">
        <v>47</v>
      </c>
      <c r="AN47">
        <v>22</v>
      </c>
      <c r="AO47">
        <v>45</v>
      </c>
      <c r="AP47">
        <v>17</v>
      </c>
      <c r="AQ47">
        <v>45</v>
      </c>
      <c r="AR47">
        <v>284</v>
      </c>
      <c r="AS47">
        <v>3.75</v>
      </c>
      <c r="AT47">
        <v>205</v>
      </c>
      <c r="AU47">
        <v>61</v>
      </c>
      <c r="AV47">
        <v>5.0999999999999996</v>
      </c>
      <c r="AW47">
        <v>16</v>
      </c>
      <c r="AX47">
        <v>18</v>
      </c>
      <c r="AY47">
        <f t="shared" si="0"/>
        <v>-2</v>
      </c>
      <c r="AZ47">
        <f>AY47/B47</f>
        <v>-0.16666666666666666</v>
      </c>
    </row>
    <row r="48" spans="1:52">
      <c r="A48" t="s">
        <v>98</v>
      </c>
      <c r="B48">
        <v>12</v>
      </c>
      <c r="C48" s="2">
        <v>5</v>
      </c>
      <c r="D48" s="2">
        <v>7</v>
      </c>
      <c r="E48" s="2">
        <f t="shared" si="1"/>
        <v>0.41666666666666669</v>
      </c>
      <c r="F48">
        <v>357</v>
      </c>
      <c r="G48">
        <v>29.8</v>
      </c>
      <c r="H48">
        <v>319</v>
      </c>
      <c r="I48">
        <v>26.6</v>
      </c>
      <c r="J48">
        <v>4938</v>
      </c>
      <c r="K48">
        <v>5.68</v>
      </c>
      <c r="L48">
        <v>44</v>
      </c>
      <c r="M48">
        <v>411.5</v>
      </c>
      <c r="N48">
        <v>5097</v>
      </c>
      <c r="O48">
        <v>6.03</v>
      </c>
      <c r="P48">
        <v>40</v>
      </c>
      <c r="Q48">
        <v>41</v>
      </c>
      <c r="R48">
        <v>424.8</v>
      </c>
      <c r="S48">
        <v>74</v>
      </c>
      <c r="T48">
        <v>696</v>
      </c>
      <c r="U48">
        <v>58</v>
      </c>
      <c r="V48">
        <v>7.19</v>
      </c>
      <c r="W48">
        <v>12.56</v>
      </c>
      <c r="X48">
        <v>227.2</v>
      </c>
      <c r="Y48">
        <v>7.28</v>
      </c>
      <c r="Z48">
        <v>12.04</v>
      </c>
      <c r="AA48">
        <v>245.8</v>
      </c>
      <c r="AB48">
        <v>103</v>
      </c>
      <c r="AC48">
        <v>440</v>
      </c>
      <c r="AD48">
        <v>2148</v>
      </c>
      <c r="AE48">
        <v>4.88</v>
      </c>
      <c r="AF48">
        <v>15</v>
      </c>
      <c r="AG48">
        <v>179</v>
      </c>
      <c r="AH48">
        <v>38</v>
      </c>
      <c r="AI48">
        <v>491</v>
      </c>
      <c r="AJ48">
        <v>2212</v>
      </c>
      <c r="AK48">
        <v>4.51</v>
      </c>
      <c r="AL48">
        <v>184.3</v>
      </c>
      <c r="AM48">
        <v>41</v>
      </c>
      <c r="AN48">
        <v>11</v>
      </c>
      <c r="AO48">
        <v>47</v>
      </c>
      <c r="AP48">
        <v>10</v>
      </c>
      <c r="AQ48">
        <v>14</v>
      </c>
      <c r="AR48">
        <v>88</v>
      </c>
      <c r="AS48">
        <v>1.17</v>
      </c>
      <c r="AT48">
        <v>174</v>
      </c>
      <c r="AU48">
        <v>58</v>
      </c>
      <c r="AV48">
        <v>4.8</v>
      </c>
      <c r="AW48">
        <v>21</v>
      </c>
      <c r="AX48">
        <v>13</v>
      </c>
      <c r="AY48">
        <f t="shared" si="0"/>
        <v>8</v>
      </c>
      <c r="AZ48">
        <f>AY48/B48</f>
        <v>0.66666666666666663</v>
      </c>
    </row>
    <row r="49" spans="1:52">
      <c r="A49" t="s">
        <v>99</v>
      </c>
      <c r="B49">
        <v>14</v>
      </c>
      <c r="C49" s="2">
        <v>11</v>
      </c>
      <c r="D49" s="2">
        <v>3</v>
      </c>
      <c r="E49" s="2">
        <f t="shared" si="1"/>
        <v>0.7857142857142857</v>
      </c>
      <c r="F49">
        <v>465</v>
      </c>
      <c r="G49">
        <v>33.200000000000003</v>
      </c>
      <c r="H49">
        <v>292</v>
      </c>
      <c r="I49">
        <v>20.9</v>
      </c>
      <c r="J49">
        <v>5744</v>
      </c>
      <c r="K49">
        <v>5.6</v>
      </c>
      <c r="L49">
        <v>55</v>
      </c>
      <c r="M49">
        <v>410.3</v>
      </c>
      <c r="N49">
        <v>4682</v>
      </c>
      <c r="O49">
        <v>5.03</v>
      </c>
      <c r="P49">
        <v>33</v>
      </c>
      <c r="Q49">
        <v>36</v>
      </c>
      <c r="R49">
        <v>334.4</v>
      </c>
      <c r="S49">
        <v>76</v>
      </c>
      <c r="T49">
        <v>675</v>
      </c>
      <c r="U49">
        <v>48.21</v>
      </c>
      <c r="V49">
        <v>6.78</v>
      </c>
      <c r="W49">
        <v>10.92</v>
      </c>
      <c r="X49">
        <v>232.4</v>
      </c>
      <c r="Y49">
        <v>6.65</v>
      </c>
      <c r="Z49">
        <v>10.85</v>
      </c>
      <c r="AA49">
        <v>231.7</v>
      </c>
      <c r="AB49">
        <v>13</v>
      </c>
      <c r="AC49">
        <v>442</v>
      </c>
      <c r="AD49">
        <v>1438</v>
      </c>
      <c r="AE49">
        <v>3.25</v>
      </c>
      <c r="AF49">
        <v>12</v>
      </c>
      <c r="AG49">
        <v>102.7</v>
      </c>
      <c r="AH49">
        <v>47</v>
      </c>
      <c r="AI49">
        <v>546</v>
      </c>
      <c r="AJ49">
        <v>2491</v>
      </c>
      <c r="AK49">
        <v>4.5599999999999996</v>
      </c>
      <c r="AL49">
        <v>177.9</v>
      </c>
      <c r="AM49">
        <v>36</v>
      </c>
      <c r="AN49">
        <v>14</v>
      </c>
      <c r="AO49">
        <v>57</v>
      </c>
      <c r="AP49">
        <v>20</v>
      </c>
      <c r="AQ49">
        <v>28</v>
      </c>
      <c r="AR49">
        <v>176</v>
      </c>
      <c r="AS49">
        <v>2</v>
      </c>
      <c r="AT49">
        <v>430</v>
      </c>
      <c r="AU49">
        <v>111</v>
      </c>
      <c r="AV49">
        <v>7.9</v>
      </c>
      <c r="AW49">
        <v>21</v>
      </c>
      <c r="AX49">
        <v>22</v>
      </c>
      <c r="AY49">
        <f t="shared" si="0"/>
        <v>-1</v>
      </c>
      <c r="AZ49">
        <f>AY49/B49</f>
        <v>-7.1428571428571425E-2</v>
      </c>
    </row>
    <row r="50" spans="1:52">
      <c r="A50" t="s">
        <v>100</v>
      </c>
      <c r="B50">
        <v>13</v>
      </c>
      <c r="C50" s="2">
        <v>8</v>
      </c>
      <c r="D50" s="2">
        <v>5</v>
      </c>
      <c r="E50" s="2">
        <f t="shared" si="1"/>
        <v>0.61538461538461542</v>
      </c>
      <c r="F50">
        <v>350</v>
      </c>
      <c r="G50">
        <v>26.9</v>
      </c>
      <c r="H50">
        <v>249</v>
      </c>
      <c r="I50">
        <v>19.2</v>
      </c>
      <c r="J50">
        <v>5280</v>
      </c>
      <c r="K50">
        <v>5.96</v>
      </c>
      <c r="L50">
        <v>38</v>
      </c>
      <c r="M50">
        <v>406.2</v>
      </c>
      <c r="N50">
        <v>4292</v>
      </c>
      <c r="O50">
        <v>5.0599999999999996</v>
      </c>
      <c r="P50">
        <v>30</v>
      </c>
      <c r="Q50">
        <v>30</v>
      </c>
      <c r="R50">
        <v>330.2</v>
      </c>
      <c r="S50">
        <v>90</v>
      </c>
      <c r="T50">
        <v>858</v>
      </c>
      <c r="U50">
        <v>66</v>
      </c>
      <c r="V50">
        <v>7.26</v>
      </c>
      <c r="W50">
        <v>12.26</v>
      </c>
      <c r="X50">
        <v>205.5</v>
      </c>
      <c r="Y50">
        <v>7.07</v>
      </c>
      <c r="Z50">
        <v>12.14</v>
      </c>
      <c r="AA50">
        <v>197</v>
      </c>
      <c r="AB50">
        <v>38</v>
      </c>
      <c r="AC50">
        <v>486</v>
      </c>
      <c r="AD50">
        <v>1731</v>
      </c>
      <c r="AE50">
        <v>3.56</v>
      </c>
      <c r="AF50">
        <v>13</v>
      </c>
      <c r="AG50">
        <v>133.19999999999999</v>
      </c>
      <c r="AH50">
        <v>23</v>
      </c>
      <c r="AI50">
        <v>518</v>
      </c>
      <c r="AJ50">
        <v>2608</v>
      </c>
      <c r="AK50">
        <v>5.03</v>
      </c>
      <c r="AL50">
        <v>200.6</v>
      </c>
      <c r="AM50">
        <v>30</v>
      </c>
      <c r="AN50">
        <v>13</v>
      </c>
      <c r="AO50">
        <v>42</v>
      </c>
      <c r="AP50">
        <v>20</v>
      </c>
      <c r="AQ50">
        <v>27</v>
      </c>
      <c r="AR50">
        <v>174</v>
      </c>
      <c r="AS50">
        <v>2.08</v>
      </c>
      <c r="AT50">
        <v>461</v>
      </c>
      <c r="AU50">
        <v>97</v>
      </c>
      <c r="AV50">
        <v>7.5</v>
      </c>
      <c r="AW50">
        <v>30</v>
      </c>
      <c r="AX50">
        <v>24</v>
      </c>
      <c r="AY50">
        <f t="shared" si="0"/>
        <v>6</v>
      </c>
      <c r="AZ50">
        <f>AY50/B50</f>
        <v>0.46153846153846156</v>
      </c>
    </row>
    <row r="51" spans="1:52">
      <c r="A51" t="s">
        <v>101</v>
      </c>
      <c r="B51">
        <v>13</v>
      </c>
      <c r="C51" s="2">
        <v>9</v>
      </c>
      <c r="D51" s="2">
        <v>4</v>
      </c>
      <c r="E51" s="2">
        <f t="shared" si="1"/>
        <v>0.69230769230769229</v>
      </c>
      <c r="F51">
        <v>407</v>
      </c>
      <c r="G51">
        <v>31.3</v>
      </c>
      <c r="H51">
        <v>316</v>
      </c>
      <c r="I51">
        <v>24.3</v>
      </c>
      <c r="J51">
        <v>5275</v>
      </c>
      <c r="K51">
        <v>5.78</v>
      </c>
      <c r="L51">
        <v>43</v>
      </c>
      <c r="M51">
        <v>405.8</v>
      </c>
      <c r="N51">
        <v>4289</v>
      </c>
      <c r="O51">
        <v>5.15</v>
      </c>
      <c r="P51">
        <v>36</v>
      </c>
      <c r="Q51">
        <v>39</v>
      </c>
      <c r="R51">
        <v>329.9</v>
      </c>
      <c r="S51">
        <v>96</v>
      </c>
      <c r="T51">
        <v>828</v>
      </c>
      <c r="U51">
        <v>63.69</v>
      </c>
      <c r="V51">
        <v>7.41</v>
      </c>
      <c r="W51">
        <v>12.99</v>
      </c>
      <c r="X51">
        <v>222.8</v>
      </c>
      <c r="Y51">
        <v>6.71</v>
      </c>
      <c r="Z51">
        <v>12.01</v>
      </c>
      <c r="AA51">
        <v>231.9</v>
      </c>
      <c r="AB51">
        <v>8</v>
      </c>
      <c r="AC51">
        <v>384</v>
      </c>
      <c r="AD51">
        <v>1274</v>
      </c>
      <c r="AE51">
        <v>3.32</v>
      </c>
      <c r="AF51">
        <v>13</v>
      </c>
      <c r="AG51">
        <v>98</v>
      </c>
      <c r="AH51">
        <v>42</v>
      </c>
      <c r="AI51">
        <v>521</v>
      </c>
      <c r="AJ51">
        <v>2379</v>
      </c>
      <c r="AK51">
        <v>4.57</v>
      </c>
      <c r="AL51">
        <v>183</v>
      </c>
      <c r="AM51">
        <v>39</v>
      </c>
      <c r="AN51">
        <v>16</v>
      </c>
      <c r="AO51">
        <v>49</v>
      </c>
      <c r="AP51">
        <v>20</v>
      </c>
      <c r="AQ51">
        <v>19</v>
      </c>
      <c r="AR51">
        <v>150</v>
      </c>
      <c r="AS51">
        <v>1.46</v>
      </c>
      <c r="AT51">
        <v>429</v>
      </c>
      <c r="AU51">
        <v>90</v>
      </c>
      <c r="AV51">
        <v>6.9</v>
      </c>
      <c r="AW51">
        <v>22</v>
      </c>
      <c r="AX51">
        <v>20</v>
      </c>
      <c r="AY51">
        <f t="shared" si="0"/>
        <v>2</v>
      </c>
      <c r="AZ51">
        <f>AY51/B51</f>
        <v>0.15384615384615385</v>
      </c>
    </row>
    <row r="52" spans="1:52">
      <c r="A52" t="s">
        <v>102</v>
      </c>
      <c r="B52">
        <v>13</v>
      </c>
      <c r="C52" s="2">
        <v>9</v>
      </c>
      <c r="D52" s="2">
        <v>4</v>
      </c>
      <c r="E52" s="2">
        <f t="shared" si="1"/>
        <v>0.69230769230769229</v>
      </c>
      <c r="F52">
        <v>378</v>
      </c>
      <c r="G52">
        <v>29.1</v>
      </c>
      <c r="H52">
        <v>414</v>
      </c>
      <c r="I52">
        <v>31.8</v>
      </c>
      <c r="J52">
        <v>5271</v>
      </c>
      <c r="K52">
        <v>6.03</v>
      </c>
      <c r="L52">
        <v>49</v>
      </c>
      <c r="M52">
        <v>405.5</v>
      </c>
      <c r="N52">
        <v>5434</v>
      </c>
      <c r="O52">
        <v>6.45</v>
      </c>
      <c r="P52">
        <v>50</v>
      </c>
      <c r="Q52">
        <v>51</v>
      </c>
      <c r="R52">
        <v>418</v>
      </c>
      <c r="S52">
        <v>81</v>
      </c>
      <c r="T52">
        <v>740</v>
      </c>
      <c r="U52">
        <v>56.92</v>
      </c>
      <c r="V52">
        <v>8.86</v>
      </c>
      <c r="W52">
        <v>13.5</v>
      </c>
      <c r="X52">
        <v>246.2</v>
      </c>
      <c r="Y52">
        <v>9.18</v>
      </c>
      <c r="Z52">
        <v>14.45</v>
      </c>
      <c r="AA52">
        <v>284.5</v>
      </c>
      <c r="AB52">
        <v>39</v>
      </c>
      <c r="AC52">
        <v>439</v>
      </c>
      <c r="AD52">
        <v>1736</v>
      </c>
      <c r="AE52">
        <v>3.95</v>
      </c>
      <c r="AF52">
        <v>22</v>
      </c>
      <c r="AG52">
        <v>133.5</v>
      </c>
      <c r="AH52">
        <v>60</v>
      </c>
      <c r="AI52">
        <v>513</v>
      </c>
      <c r="AJ52">
        <v>2071</v>
      </c>
      <c r="AK52">
        <v>4.04</v>
      </c>
      <c r="AL52">
        <v>159.30000000000001</v>
      </c>
      <c r="AM52">
        <v>51</v>
      </c>
      <c r="AN52">
        <v>19</v>
      </c>
      <c r="AO52">
        <v>51</v>
      </c>
      <c r="AP52">
        <v>8</v>
      </c>
      <c r="AQ52">
        <v>30</v>
      </c>
      <c r="AR52">
        <v>186</v>
      </c>
      <c r="AS52">
        <v>2.31</v>
      </c>
      <c r="AT52">
        <v>376</v>
      </c>
      <c r="AU52">
        <v>93</v>
      </c>
      <c r="AV52">
        <v>7.2</v>
      </c>
      <c r="AW52">
        <v>21</v>
      </c>
      <c r="AX52">
        <v>20</v>
      </c>
      <c r="AY52">
        <f t="shared" si="0"/>
        <v>1</v>
      </c>
      <c r="AZ52">
        <f>AY52/B52</f>
        <v>7.6923076923076927E-2</v>
      </c>
    </row>
    <row r="53" spans="1:52">
      <c r="A53" t="s">
        <v>103</v>
      </c>
      <c r="B53">
        <v>13</v>
      </c>
      <c r="C53" s="2">
        <v>7</v>
      </c>
      <c r="D53" s="2">
        <v>6</v>
      </c>
      <c r="E53" s="2">
        <f t="shared" si="1"/>
        <v>0.53846153846153844</v>
      </c>
      <c r="F53">
        <v>398</v>
      </c>
      <c r="G53">
        <v>30.6</v>
      </c>
      <c r="H53">
        <v>376</v>
      </c>
      <c r="I53">
        <v>28.9</v>
      </c>
      <c r="J53">
        <v>5266</v>
      </c>
      <c r="K53">
        <v>5.27</v>
      </c>
      <c r="L53">
        <v>44</v>
      </c>
      <c r="M53">
        <v>405.1</v>
      </c>
      <c r="N53">
        <v>5664</v>
      </c>
      <c r="O53">
        <v>5.71</v>
      </c>
      <c r="P53">
        <v>47</v>
      </c>
      <c r="Q53">
        <v>47</v>
      </c>
      <c r="R53">
        <v>435.7</v>
      </c>
      <c r="S53">
        <v>46</v>
      </c>
      <c r="T53">
        <v>436</v>
      </c>
      <c r="U53">
        <v>33.54</v>
      </c>
      <c r="V53">
        <v>6.94</v>
      </c>
      <c r="W53">
        <v>12.45</v>
      </c>
      <c r="X53">
        <v>279.5</v>
      </c>
      <c r="Y53">
        <v>6.73</v>
      </c>
      <c r="Z53">
        <v>11.71</v>
      </c>
      <c r="AA53">
        <v>257.7</v>
      </c>
      <c r="AB53">
        <v>101</v>
      </c>
      <c r="AC53">
        <v>494</v>
      </c>
      <c r="AD53">
        <v>2314</v>
      </c>
      <c r="AE53">
        <v>4.68</v>
      </c>
      <c r="AF53">
        <v>23</v>
      </c>
      <c r="AG53">
        <v>178</v>
      </c>
      <c r="AH53">
        <v>97</v>
      </c>
      <c r="AI53">
        <v>476</v>
      </c>
      <c r="AJ53">
        <v>1632</v>
      </c>
      <c r="AK53">
        <v>3.43</v>
      </c>
      <c r="AL53">
        <v>125.5</v>
      </c>
      <c r="AM53">
        <v>47</v>
      </c>
      <c r="AN53">
        <v>15</v>
      </c>
      <c r="AO53">
        <v>47</v>
      </c>
      <c r="AP53">
        <v>22</v>
      </c>
      <c r="AQ53">
        <v>27</v>
      </c>
      <c r="AR53">
        <v>162</v>
      </c>
      <c r="AS53">
        <v>2.08</v>
      </c>
      <c r="AT53">
        <v>299</v>
      </c>
      <c r="AU53">
        <v>96</v>
      </c>
      <c r="AV53">
        <v>7.4</v>
      </c>
      <c r="AW53">
        <v>19</v>
      </c>
      <c r="AX53">
        <v>23</v>
      </c>
      <c r="AY53">
        <f t="shared" si="0"/>
        <v>-4</v>
      </c>
      <c r="AZ53">
        <f>AY53/B53</f>
        <v>-0.30769230769230771</v>
      </c>
    </row>
    <row r="54" spans="1:52">
      <c r="A54" t="s">
        <v>104</v>
      </c>
      <c r="B54">
        <v>14</v>
      </c>
      <c r="C54" s="2">
        <v>10</v>
      </c>
      <c r="D54" s="2">
        <v>4</v>
      </c>
      <c r="E54" s="2">
        <f t="shared" si="1"/>
        <v>0.7142857142857143</v>
      </c>
      <c r="F54">
        <v>428</v>
      </c>
      <c r="G54">
        <v>30.6</v>
      </c>
      <c r="H54">
        <v>272</v>
      </c>
      <c r="I54">
        <v>19.399999999999999</v>
      </c>
      <c r="J54">
        <v>5639</v>
      </c>
      <c r="K54">
        <v>6.01</v>
      </c>
      <c r="L54">
        <v>50</v>
      </c>
      <c r="M54">
        <v>402.8</v>
      </c>
      <c r="N54">
        <v>4745</v>
      </c>
      <c r="O54">
        <v>5.14</v>
      </c>
      <c r="P54">
        <v>31</v>
      </c>
      <c r="Q54">
        <v>31</v>
      </c>
      <c r="R54">
        <v>338.9</v>
      </c>
      <c r="S54">
        <v>63</v>
      </c>
      <c r="T54">
        <v>561</v>
      </c>
      <c r="U54">
        <v>40.07</v>
      </c>
      <c r="V54">
        <v>8.01</v>
      </c>
      <c r="W54">
        <v>11.27</v>
      </c>
      <c r="X54">
        <v>270.60000000000002</v>
      </c>
      <c r="Y54">
        <v>6.11</v>
      </c>
      <c r="Z54">
        <v>11.43</v>
      </c>
      <c r="AA54">
        <v>189.4</v>
      </c>
      <c r="AB54">
        <v>66</v>
      </c>
      <c r="AC54">
        <v>490</v>
      </c>
      <c r="AD54">
        <v>2094</v>
      </c>
      <c r="AE54">
        <v>4.2699999999999996</v>
      </c>
      <c r="AF54">
        <v>17</v>
      </c>
      <c r="AG54">
        <v>149.6</v>
      </c>
      <c r="AH54">
        <v>92</v>
      </c>
      <c r="AI54">
        <v>466</v>
      </c>
      <c r="AJ54">
        <v>1851</v>
      </c>
      <c r="AK54">
        <v>3.97</v>
      </c>
      <c r="AL54">
        <v>132.19999999999999</v>
      </c>
      <c r="AM54">
        <v>31</v>
      </c>
      <c r="AN54">
        <v>19</v>
      </c>
      <c r="AO54">
        <v>53</v>
      </c>
      <c r="AP54">
        <v>18</v>
      </c>
      <c r="AQ54">
        <v>39</v>
      </c>
      <c r="AR54">
        <v>254</v>
      </c>
      <c r="AS54">
        <v>2.79</v>
      </c>
      <c r="AT54">
        <v>315</v>
      </c>
      <c r="AU54">
        <v>81</v>
      </c>
      <c r="AV54">
        <v>5.8</v>
      </c>
      <c r="AW54">
        <v>18</v>
      </c>
      <c r="AX54">
        <v>14</v>
      </c>
      <c r="AY54">
        <f t="shared" si="0"/>
        <v>4</v>
      </c>
      <c r="AZ54">
        <f>AY54/B54</f>
        <v>0.2857142857142857</v>
      </c>
    </row>
    <row r="55" spans="1:52">
      <c r="A55" t="s">
        <v>105</v>
      </c>
      <c r="B55">
        <v>14</v>
      </c>
      <c r="C55" s="2">
        <v>9</v>
      </c>
      <c r="D55" s="2">
        <v>5</v>
      </c>
      <c r="E55" s="2">
        <f t="shared" si="1"/>
        <v>0.6428571428571429</v>
      </c>
      <c r="F55">
        <v>438</v>
      </c>
      <c r="G55">
        <v>31.3</v>
      </c>
      <c r="H55">
        <v>351</v>
      </c>
      <c r="I55">
        <v>25.1</v>
      </c>
      <c r="J55">
        <v>5624</v>
      </c>
      <c r="K55">
        <v>5.52</v>
      </c>
      <c r="L55">
        <v>54</v>
      </c>
      <c r="M55">
        <v>401.7</v>
      </c>
      <c r="N55">
        <v>4566</v>
      </c>
      <c r="O55">
        <v>4.8</v>
      </c>
      <c r="P55">
        <v>42</v>
      </c>
      <c r="Q55">
        <v>45</v>
      </c>
      <c r="R55">
        <v>326.10000000000002</v>
      </c>
      <c r="S55">
        <v>94</v>
      </c>
      <c r="T55">
        <v>770</v>
      </c>
      <c r="U55">
        <v>55</v>
      </c>
      <c r="V55">
        <v>7.18</v>
      </c>
      <c r="W55">
        <v>12.78</v>
      </c>
      <c r="X55">
        <v>224.6</v>
      </c>
      <c r="Y55">
        <v>5.97</v>
      </c>
      <c r="Z55">
        <v>10.95</v>
      </c>
      <c r="AA55">
        <v>183</v>
      </c>
      <c r="AB55">
        <v>57</v>
      </c>
      <c r="AC55">
        <v>523</v>
      </c>
      <c r="AD55">
        <v>2005</v>
      </c>
      <c r="AE55">
        <v>3.83</v>
      </c>
      <c r="AF55">
        <v>25</v>
      </c>
      <c r="AG55">
        <v>143.19999999999999</v>
      </c>
      <c r="AH55">
        <v>48</v>
      </c>
      <c r="AI55">
        <v>581</v>
      </c>
      <c r="AJ55">
        <v>2480</v>
      </c>
      <c r="AK55">
        <v>4.2699999999999996</v>
      </c>
      <c r="AL55">
        <v>177.1</v>
      </c>
      <c r="AM55">
        <v>45</v>
      </c>
      <c r="AN55">
        <v>12</v>
      </c>
      <c r="AO55">
        <v>56</v>
      </c>
      <c r="AP55">
        <v>15</v>
      </c>
      <c r="AQ55">
        <v>28</v>
      </c>
      <c r="AR55">
        <v>189</v>
      </c>
      <c r="AS55">
        <v>2</v>
      </c>
      <c r="AT55">
        <v>379</v>
      </c>
      <c r="AU55">
        <v>95</v>
      </c>
      <c r="AV55">
        <v>6.8</v>
      </c>
      <c r="AW55">
        <v>18</v>
      </c>
      <c r="AX55">
        <v>26</v>
      </c>
      <c r="AY55">
        <f t="shared" si="0"/>
        <v>-8</v>
      </c>
      <c r="AZ55">
        <f>AY55/B55</f>
        <v>-0.5714285714285714</v>
      </c>
    </row>
    <row r="56" spans="1:52">
      <c r="A56" t="s">
        <v>106</v>
      </c>
      <c r="B56">
        <v>13</v>
      </c>
      <c r="C56" s="2">
        <v>8</v>
      </c>
      <c r="D56" s="2">
        <v>5</v>
      </c>
      <c r="E56" s="2">
        <f t="shared" si="1"/>
        <v>0.61538461538461542</v>
      </c>
      <c r="F56">
        <v>366</v>
      </c>
      <c r="G56">
        <v>28.2</v>
      </c>
      <c r="H56">
        <v>301</v>
      </c>
      <c r="I56">
        <v>23.2</v>
      </c>
      <c r="J56">
        <v>5220</v>
      </c>
      <c r="K56">
        <v>5.7</v>
      </c>
      <c r="L56">
        <v>44</v>
      </c>
      <c r="M56">
        <v>401.5</v>
      </c>
      <c r="N56">
        <v>4642</v>
      </c>
      <c r="O56">
        <v>5.01</v>
      </c>
      <c r="P56">
        <v>33</v>
      </c>
      <c r="Q56">
        <v>34</v>
      </c>
      <c r="R56">
        <v>357.1</v>
      </c>
      <c r="S56">
        <v>101</v>
      </c>
      <c r="T56">
        <v>924</v>
      </c>
      <c r="U56">
        <v>71.08</v>
      </c>
      <c r="V56">
        <v>7.59</v>
      </c>
      <c r="W56">
        <v>11.51</v>
      </c>
      <c r="X56">
        <v>260.2</v>
      </c>
      <c r="Y56">
        <v>6.22</v>
      </c>
      <c r="Z56">
        <v>10.87</v>
      </c>
      <c r="AA56">
        <v>223.3</v>
      </c>
      <c r="AB56">
        <v>40</v>
      </c>
      <c r="AC56">
        <v>459</v>
      </c>
      <c r="AD56">
        <v>1739</v>
      </c>
      <c r="AE56">
        <v>3.79</v>
      </c>
      <c r="AF56">
        <v>16</v>
      </c>
      <c r="AG56">
        <v>133.80000000000001</v>
      </c>
      <c r="AH56">
        <v>82</v>
      </c>
      <c r="AI56">
        <v>469</v>
      </c>
      <c r="AJ56">
        <v>1837</v>
      </c>
      <c r="AK56">
        <v>3.92</v>
      </c>
      <c r="AL56">
        <v>141.30000000000001</v>
      </c>
      <c r="AM56">
        <v>34</v>
      </c>
      <c r="AN56">
        <v>22</v>
      </c>
      <c r="AO56">
        <v>44</v>
      </c>
      <c r="AP56">
        <v>19</v>
      </c>
      <c r="AQ56">
        <v>43</v>
      </c>
      <c r="AR56">
        <v>291</v>
      </c>
      <c r="AS56">
        <v>3.31</v>
      </c>
      <c r="AT56">
        <v>260</v>
      </c>
      <c r="AU56">
        <v>64</v>
      </c>
      <c r="AV56">
        <v>4.9000000000000004</v>
      </c>
      <c r="AW56">
        <v>16</v>
      </c>
      <c r="AX56">
        <v>15</v>
      </c>
      <c r="AY56">
        <f t="shared" si="0"/>
        <v>1</v>
      </c>
      <c r="AZ56">
        <f>AY56/B56</f>
        <v>7.6923076923076927E-2</v>
      </c>
    </row>
    <row r="57" spans="1:52">
      <c r="A57" t="s">
        <v>107</v>
      </c>
      <c r="B57">
        <v>14</v>
      </c>
      <c r="C57" s="2">
        <v>8</v>
      </c>
      <c r="D57" s="2">
        <v>6</v>
      </c>
      <c r="E57" s="2">
        <f t="shared" si="1"/>
        <v>0.5714285714285714</v>
      </c>
      <c r="F57">
        <v>372</v>
      </c>
      <c r="G57">
        <v>26.6</v>
      </c>
      <c r="H57">
        <v>383</v>
      </c>
      <c r="I57">
        <v>27.4</v>
      </c>
      <c r="J57">
        <v>5597</v>
      </c>
      <c r="K57">
        <v>5.34</v>
      </c>
      <c r="L57">
        <v>43</v>
      </c>
      <c r="M57">
        <v>399.8</v>
      </c>
      <c r="N57">
        <v>5137</v>
      </c>
      <c r="O57">
        <v>5.77</v>
      </c>
      <c r="P57">
        <v>47</v>
      </c>
      <c r="Q57">
        <v>50</v>
      </c>
      <c r="R57">
        <v>366.9</v>
      </c>
      <c r="S57">
        <v>75</v>
      </c>
      <c r="T57">
        <v>751</v>
      </c>
      <c r="U57">
        <v>53.64</v>
      </c>
      <c r="V57">
        <v>6.69</v>
      </c>
      <c r="W57">
        <v>10.58</v>
      </c>
      <c r="X57">
        <v>278.8</v>
      </c>
      <c r="Y57">
        <v>7.59</v>
      </c>
      <c r="Z57">
        <v>13.23</v>
      </c>
      <c r="AA57">
        <v>224.9</v>
      </c>
      <c r="AB57">
        <v>52</v>
      </c>
      <c r="AC57">
        <v>475</v>
      </c>
      <c r="AD57">
        <v>1988</v>
      </c>
      <c r="AE57">
        <v>4.1900000000000004</v>
      </c>
      <c r="AF57">
        <v>19</v>
      </c>
      <c r="AG57">
        <v>142</v>
      </c>
      <c r="AH57">
        <v>103</v>
      </c>
      <c r="AI57">
        <v>466</v>
      </c>
      <c r="AJ57">
        <v>1694</v>
      </c>
      <c r="AK57">
        <v>3.64</v>
      </c>
      <c r="AL57">
        <v>121</v>
      </c>
      <c r="AM57">
        <v>50</v>
      </c>
      <c r="AN57">
        <v>12</v>
      </c>
      <c r="AO57">
        <v>46</v>
      </c>
      <c r="AP57">
        <v>18</v>
      </c>
      <c r="AQ57">
        <v>28</v>
      </c>
      <c r="AR57">
        <v>197</v>
      </c>
      <c r="AS57">
        <v>2</v>
      </c>
      <c r="AT57">
        <v>284</v>
      </c>
      <c r="AU57">
        <v>62</v>
      </c>
      <c r="AV57">
        <v>4.4000000000000004</v>
      </c>
      <c r="AW57">
        <v>21</v>
      </c>
      <c r="AX57">
        <v>23</v>
      </c>
      <c r="AY57">
        <f t="shared" si="0"/>
        <v>-2</v>
      </c>
      <c r="AZ57">
        <f>AY57/B57</f>
        <v>-0.14285714285714285</v>
      </c>
    </row>
    <row r="58" spans="1:52">
      <c r="A58" t="s">
        <v>108</v>
      </c>
      <c r="B58">
        <v>12</v>
      </c>
      <c r="C58" s="2">
        <v>5</v>
      </c>
      <c r="D58" s="2">
        <v>7</v>
      </c>
      <c r="E58" s="2">
        <f t="shared" si="1"/>
        <v>0.41666666666666669</v>
      </c>
      <c r="F58">
        <v>367</v>
      </c>
      <c r="G58">
        <v>30.6</v>
      </c>
      <c r="H58">
        <v>395</v>
      </c>
      <c r="I58">
        <v>32.9</v>
      </c>
      <c r="J58">
        <v>4788</v>
      </c>
      <c r="K58">
        <v>5.5</v>
      </c>
      <c r="L58">
        <v>44</v>
      </c>
      <c r="M58">
        <v>399</v>
      </c>
      <c r="N58">
        <v>4947</v>
      </c>
      <c r="O58">
        <v>6.03</v>
      </c>
      <c r="P58">
        <v>46</v>
      </c>
      <c r="Q58">
        <v>50</v>
      </c>
      <c r="R58">
        <v>412.2</v>
      </c>
      <c r="S58">
        <v>77</v>
      </c>
      <c r="T58">
        <v>636</v>
      </c>
      <c r="U58">
        <v>53</v>
      </c>
      <c r="V58">
        <v>6.42</v>
      </c>
      <c r="W58">
        <v>10.75</v>
      </c>
      <c r="X58">
        <v>227.5</v>
      </c>
      <c r="Y58">
        <v>8.17</v>
      </c>
      <c r="Z58">
        <v>13.76</v>
      </c>
      <c r="AA58">
        <v>262.7</v>
      </c>
      <c r="AB58">
        <v>67</v>
      </c>
      <c r="AC58">
        <v>434</v>
      </c>
      <c r="AD58">
        <v>1795</v>
      </c>
      <c r="AE58">
        <v>4.1399999999999997</v>
      </c>
      <c r="AF58">
        <v>24</v>
      </c>
      <c r="AG58">
        <v>149.6</v>
      </c>
      <c r="AH58">
        <v>52</v>
      </c>
      <c r="AI58">
        <v>445</v>
      </c>
      <c r="AJ58">
        <v>2058</v>
      </c>
      <c r="AK58">
        <v>4.62</v>
      </c>
      <c r="AL58">
        <v>171.5</v>
      </c>
      <c r="AM58">
        <v>50</v>
      </c>
      <c r="AN58">
        <v>15</v>
      </c>
      <c r="AO58">
        <v>47</v>
      </c>
      <c r="AP58">
        <v>14</v>
      </c>
      <c r="AQ58">
        <v>20</v>
      </c>
      <c r="AR58">
        <v>144</v>
      </c>
      <c r="AS58">
        <v>1.67</v>
      </c>
      <c r="AT58">
        <v>287</v>
      </c>
      <c r="AU58">
        <v>68</v>
      </c>
      <c r="AV58">
        <v>5.7</v>
      </c>
      <c r="AW58">
        <v>10</v>
      </c>
      <c r="AX58">
        <v>18</v>
      </c>
      <c r="AY58">
        <f t="shared" si="0"/>
        <v>-8</v>
      </c>
      <c r="AZ58">
        <f>AY58/B58</f>
        <v>-0.66666666666666663</v>
      </c>
    </row>
    <row r="59" spans="1:52">
      <c r="A59" t="s">
        <v>109</v>
      </c>
      <c r="B59">
        <v>13</v>
      </c>
      <c r="C59" s="2">
        <v>9</v>
      </c>
      <c r="D59" s="2">
        <v>4</v>
      </c>
      <c r="E59" s="2">
        <f t="shared" si="1"/>
        <v>0.69230769230769229</v>
      </c>
      <c r="F59">
        <v>318</v>
      </c>
      <c r="G59">
        <v>24.5</v>
      </c>
      <c r="H59">
        <v>208</v>
      </c>
      <c r="I59">
        <v>16</v>
      </c>
      <c r="J59">
        <v>5173</v>
      </c>
      <c r="K59">
        <v>5.37</v>
      </c>
      <c r="L59">
        <v>36</v>
      </c>
      <c r="M59">
        <v>397.9</v>
      </c>
      <c r="N59">
        <v>3829</v>
      </c>
      <c r="O59">
        <v>4.5599999999999996</v>
      </c>
      <c r="P59">
        <v>22</v>
      </c>
      <c r="Q59">
        <v>25</v>
      </c>
      <c r="R59">
        <v>294.5</v>
      </c>
      <c r="S59">
        <v>94</v>
      </c>
      <c r="T59">
        <v>859</v>
      </c>
      <c r="U59">
        <v>66.08</v>
      </c>
      <c r="V59">
        <v>6.82</v>
      </c>
      <c r="W59">
        <v>11.09</v>
      </c>
      <c r="X59">
        <v>192</v>
      </c>
      <c r="Y59">
        <v>6.22</v>
      </c>
      <c r="Z59">
        <v>12.07</v>
      </c>
      <c r="AA59">
        <v>201.5</v>
      </c>
      <c r="AB59">
        <v>5</v>
      </c>
      <c r="AC59">
        <v>419</v>
      </c>
      <c r="AD59">
        <v>1209</v>
      </c>
      <c r="AE59">
        <v>2.89</v>
      </c>
      <c r="AF59">
        <v>10</v>
      </c>
      <c r="AG59">
        <v>93</v>
      </c>
      <c r="AH59">
        <v>17</v>
      </c>
      <c r="AI59">
        <v>597</v>
      </c>
      <c r="AJ59">
        <v>2677</v>
      </c>
      <c r="AK59">
        <v>4.4800000000000004</v>
      </c>
      <c r="AL59">
        <v>205.9</v>
      </c>
      <c r="AM59">
        <v>25</v>
      </c>
      <c r="AN59">
        <v>12</v>
      </c>
      <c r="AO59">
        <v>40</v>
      </c>
      <c r="AP59">
        <v>13</v>
      </c>
      <c r="AQ59">
        <v>36</v>
      </c>
      <c r="AR59">
        <v>219</v>
      </c>
      <c r="AS59">
        <v>2.77</v>
      </c>
      <c r="AT59">
        <v>343</v>
      </c>
      <c r="AU59">
        <v>90</v>
      </c>
      <c r="AV59">
        <v>6.9</v>
      </c>
      <c r="AW59">
        <v>29</v>
      </c>
      <c r="AX59">
        <v>19</v>
      </c>
      <c r="AY59">
        <f t="shared" si="0"/>
        <v>10</v>
      </c>
      <c r="AZ59">
        <f>AY59/B59</f>
        <v>0.76923076923076927</v>
      </c>
    </row>
    <row r="60" spans="1:52">
      <c r="A60" t="s">
        <v>110</v>
      </c>
      <c r="B60">
        <v>13</v>
      </c>
      <c r="C60" s="2">
        <v>10</v>
      </c>
      <c r="D60" s="2">
        <v>3</v>
      </c>
      <c r="E60" s="2">
        <f t="shared" si="1"/>
        <v>0.76923076923076927</v>
      </c>
      <c r="F60">
        <v>362</v>
      </c>
      <c r="G60">
        <v>27.8</v>
      </c>
      <c r="H60">
        <v>174</v>
      </c>
      <c r="I60">
        <v>13.4</v>
      </c>
      <c r="J60">
        <v>5163</v>
      </c>
      <c r="K60">
        <v>5.81</v>
      </c>
      <c r="L60">
        <v>45</v>
      </c>
      <c r="M60">
        <v>397.2</v>
      </c>
      <c r="N60">
        <v>3307</v>
      </c>
      <c r="O60">
        <v>5.03</v>
      </c>
      <c r="P60">
        <v>20</v>
      </c>
      <c r="Q60">
        <v>20</v>
      </c>
      <c r="R60">
        <v>254.4</v>
      </c>
      <c r="S60">
        <v>51</v>
      </c>
      <c r="T60">
        <v>386</v>
      </c>
      <c r="U60">
        <v>29.69</v>
      </c>
      <c r="V60">
        <v>10.53</v>
      </c>
      <c r="W60">
        <v>22.34</v>
      </c>
      <c r="X60">
        <v>70.5</v>
      </c>
      <c r="Y60">
        <v>7.11</v>
      </c>
      <c r="Z60">
        <v>12.16</v>
      </c>
      <c r="AA60">
        <v>159.1</v>
      </c>
      <c r="AB60">
        <v>6</v>
      </c>
      <c r="AC60">
        <v>366</v>
      </c>
      <c r="AD60">
        <v>1239</v>
      </c>
      <c r="AE60">
        <v>3.39</v>
      </c>
      <c r="AF60">
        <v>10</v>
      </c>
      <c r="AG60">
        <v>95.3</v>
      </c>
      <c r="AH60">
        <v>1</v>
      </c>
      <c r="AI60">
        <v>802</v>
      </c>
      <c r="AJ60">
        <v>4247</v>
      </c>
      <c r="AK60">
        <v>5.3</v>
      </c>
      <c r="AL60">
        <v>326.7</v>
      </c>
      <c r="AM60">
        <v>20</v>
      </c>
      <c r="AN60">
        <v>12</v>
      </c>
      <c r="AO60">
        <v>45</v>
      </c>
      <c r="AP60">
        <v>16</v>
      </c>
      <c r="AQ60">
        <v>12</v>
      </c>
      <c r="AR60">
        <v>26</v>
      </c>
      <c r="AS60">
        <v>0.92</v>
      </c>
      <c r="AT60">
        <v>287</v>
      </c>
      <c r="AU60">
        <v>68</v>
      </c>
      <c r="AV60">
        <v>5.2</v>
      </c>
      <c r="AW60">
        <v>16</v>
      </c>
      <c r="AX60">
        <v>13</v>
      </c>
      <c r="AY60">
        <f t="shared" si="0"/>
        <v>3</v>
      </c>
      <c r="AZ60">
        <f>AY60/B60</f>
        <v>0.23076923076923078</v>
      </c>
    </row>
    <row r="61" spans="1:52">
      <c r="A61" t="s">
        <v>111</v>
      </c>
      <c r="B61">
        <v>13</v>
      </c>
      <c r="C61" s="2">
        <v>9</v>
      </c>
      <c r="D61" s="2">
        <v>4</v>
      </c>
      <c r="E61" s="2">
        <f t="shared" si="1"/>
        <v>0.69230769230769229</v>
      </c>
      <c r="F61">
        <v>413</v>
      </c>
      <c r="G61">
        <v>31.8</v>
      </c>
      <c r="H61">
        <v>299</v>
      </c>
      <c r="I61">
        <v>23</v>
      </c>
      <c r="J61">
        <v>5150</v>
      </c>
      <c r="K61">
        <v>5.92</v>
      </c>
      <c r="L61">
        <v>50</v>
      </c>
      <c r="M61">
        <v>396.2</v>
      </c>
      <c r="N61">
        <v>4281</v>
      </c>
      <c r="O61">
        <v>5.15</v>
      </c>
      <c r="P61">
        <v>36</v>
      </c>
      <c r="Q61">
        <v>39</v>
      </c>
      <c r="R61">
        <v>329.3</v>
      </c>
      <c r="S61">
        <v>60</v>
      </c>
      <c r="T61">
        <v>550</v>
      </c>
      <c r="U61">
        <v>42.31</v>
      </c>
      <c r="V61">
        <v>7.96</v>
      </c>
      <c r="W61">
        <v>12.76</v>
      </c>
      <c r="X61">
        <v>207.1</v>
      </c>
      <c r="Y61">
        <v>6.52</v>
      </c>
      <c r="Z61">
        <v>11.09</v>
      </c>
      <c r="AA61">
        <v>198</v>
      </c>
      <c r="AB61">
        <v>37</v>
      </c>
      <c r="AC61">
        <v>436</v>
      </c>
      <c r="AD61">
        <v>1707</v>
      </c>
      <c r="AE61">
        <v>3.92</v>
      </c>
      <c r="AF61">
        <v>16</v>
      </c>
      <c r="AG61">
        <v>131.30000000000001</v>
      </c>
      <c r="AH61">
        <v>35</v>
      </c>
      <c r="AI61">
        <v>532</v>
      </c>
      <c r="AJ61">
        <v>2458</v>
      </c>
      <c r="AK61">
        <v>4.62</v>
      </c>
      <c r="AL61">
        <v>189.1</v>
      </c>
      <c r="AM61">
        <v>39</v>
      </c>
      <c r="AN61">
        <v>10</v>
      </c>
      <c r="AO61">
        <v>53</v>
      </c>
      <c r="AP61">
        <v>14</v>
      </c>
      <c r="AQ61">
        <v>21</v>
      </c>
      <c r="AR61">
        <v>128</v>
      </c>
      <c r="AS61">
        <v>1.62</v>
      </c>
      <c r="AT61">
        <v>362</v>
      </c>
      <c r="AU61">
        <v>84</v>
      </c>
      <c r="AV61">
        <v>6.5</v>
      </c>
      <c r="AW61">
        <v>15</v>
      </c>
      <c r="AX61">
        <v>18</v>
      </c>
      <c r="AY61">
        <f t="shared" si="0"/>
        <v>-3</v>
      </c>
      <c r="AZ61">
        <f>AY61/B61</f>
        <v>-0.23076923076923078</v>
      </c>
    </row>
    <row r="62" spans="1:52">
      <c r="A62" t="s">
        <v>112</v>
      </c>
      <c r="B62">
        <v>13</v>
      </c>
      <c r="C62" s="2">
        <v>10</v>
      </c>
      <c r="D62" s="2">
        <v>3</v>
      </c>
      <c r="E62" s="2">
        <f t="shared" si="1"/>
        <v>0.76923076923076927</v>
      </c>
      <c r="F62">
        <v>419</v>
      </c>
      <c r="G62">
        <v>32.200000000000003</v>
      </c>
      <c r="H62">
        <v>260</v>
      </c>
      <c r="I62">
        <v>20</v>
      </c>
      <c r="J62">
        <v>5148</v>
      </c>
      <c r="K62">
        <v>6.09</v>
      </c>
      <c r="L62">
        <v>52</v>
      </c>
      <c r="M62">
        <v>396</v>
      </c>
      <c r="N62">
        <v>4326</v>
      </c>
      <c r="O62">
        <v>5.19</v>
      </c>
      <c r="P62">
        <v>28</v>
      </c>
      <c r="Q62">
        <v>31</v>
      </c>
      <c r="R62">
        <v>332.8</v>
      </c>
      <c r="S62">
        <v>78</v>
      </c>
      <c r="T62">
        <v>711</v>
      </c>
      <c r="U62">
        <v>54.69</v>
      </c>
      <c r="V62">
        <v>8.06</v>
      </c>
      <c r="W62">
        <v>12.91</v>
      </c>
      <c r="X62">
        <v>199.5</v>
      </c>
      <c r="Y62">
        <v>6.36</v>
      </c>
      <c r="Z62">
        <v>10.97</v>
      </c>
      <c r="AA62">
        <v>224.5</v>
      </c>
      <c r="AB62">
        <v>15</v>
      </c>
      <c r="AC62">
        <v>375</v>
      </c>
      <c r="AD62">
        <v>1407</v>
      </c>
      <c r="AE62">
        <v>3.75</v>
      </c>
      <c r="AF62">
        <v>17</v>
      </c>
      <c r="AG62">
        <v>108.2</v>
      </c>
      <c r="AH62">
        <v>28</v>
      </c>
      <c r="AI62">
        <v>524</v>
      </c>
      <c r="AJ62">
        <v>2554</v>
      </c>
      <c r="AK62">
        <v>4.87</v>
      </c>
      <c r="AL62">
        <v>196.5</v>
      </c>
      <c r="AM62">
        <v>31</v>
      </c>
      <c r="AN62">
        <v>15</v>
      </c>
      <c r="AO62">
        <v>56</v>
      </c>
      <c r="AP62">
        <v>11</v>
      </c>
      <c r="AQ62">
        <v>14</v>
      </c>
      <c r="AR62">
        <v>103</v>
      </c>
      <c r="AS62">
        <v>1.08</v>
      </c>
      <c r="AT62">
        <v>282</v>
      </c>
      <c r="AU62">
        <v>71</v>
      </c>
      <c r="AV62">
        <v>5.5</v>
      </c>
      <c r="AW62">
        <v>17</v>
      </c>
      <c r="AX62">
        <v>18</v>
      </c>
      <c r="AY62">
        <f t="shared" si="0"/>
        <v>-1</v>
      </c>
      <c r="AZ62">
        <f>AY62/B62</f>
        <v>-7.6923076923076927E-2</v>
      </c>
    </row>
    <row r="63" spans="1:52">
      <c r="A63" t="s">
        <v>113</v>
      </c>
      <c r="B63">
        <v>13</v>
      </c>
      <c r="C63" s="2">
        <v>9</v>
      </c>
      <c r="D63" s="2">
        <v>4</v>
      </c>
      <c r="E63" s="2">
        <f t="shared" si="1"/>
        <v>0.69230769230769229</v>
      </c>
      <c r="F63">
        <v>411</v>
      </c>
      <c r="G63">
        <v>31.6</v>
      </c>
      <c r="H63">
        <v>300</v>
      </c>
      <c r="I63">
        <v>23.1</v>
      </c>
      <c r="J63">
        <v>5108</v>
      </c>
      <c r="K63">
        <v>5.5</v>
      </c>
      <c r="L63">
        <v>48</v>
      </c>
      <c r="M63">
        <v>392.9</v>
      </c>
      <c r="N63">
        <v>4492</v>
      </c>
      <c r="O63">
        <v>5.16</v>
      </c>
      <c r="P63">
        <v>35</v>
      </c>
      <c r="Q63">
        <v>36</v>
      </c>
      <c r="R63">
        <v>345.5</v>
      </c>
      <c r="S63">
        <v>82</v>
      </c>
      <c r="T63">
        <v>790</v>
      </c>
      <c r="U63">
        <v>60.77</v>
      </c>
      <c r="V63">
        <v>6.38</v>
      </c>
      <c r="W63">
        <v>9.4499999999999993</v>
      </c>
      <c r="X63">
        <v>311.2</v>
      </c>
      <c r="Y63">
        <v>6.46</v>
      </c>
      <c r="Z63">
        <v>10.81</v>
      </c>
      <c r="AA63">
        <v>210.3</v>
      </c>
      <c r="AB63">
        <v>41</v>
      </c>
      <c r="AC63">
        <v>447</v>
      </c>
      <c r="AD63">
        <v>1745</v>
      </c>
      <c r="AE63">
        <v>3.9</v>
      </c>
      <c r="AF63">
        <v>20</v>
      </c>
      <c r="AG63">
        <v>134.19999999999999</v>
      </c>
      <c r="AH63">
        <v>130</v>
      </c>
      <c r="AI63">
        <v>295</v>
      </c>
      <c r="AJ63">
        <v>1062</v>
      </c>
      <c r="AK63">
        <v>3.6</v>
      </c>
      <c r="AL63">
        <v>81.7</v>
      </c>
      <c r="AM63">
        <v>36</v>
      </c>
      <c r="AN63">
        <v>17</v>
      </c>
      <c r="AO63">
        <v>55</v>
      </c>
      <c r="AP63">
        <v>12</v>
      </c>
      <c r="AQ63">
        <v>26</v>
      </c>
      <c r="AR63">
        <v>243</v>
      </c>
      <c r="AS63">
        <v>2</v>
      </c>
      <c r="AT63">
        <v>312</v>
      </c>
      <c r="AU63">
        <v>86</v>
      </c>
      <c r="AV63">
        <v>6.6</v>
      </c>
      <c r="AW63">
        <v>23</v>
      </c>
      <c r="AX63">
        <v>19</v>
      </c>
      <c r="AY63">
        <f t="shared" si="0"/>
        <v>4</v>
      </c>
      <c r="AZ63">
        <f>AY63/B63</f>
        <v>0.30769230769230771</v>
      </c>
    </row>
    <row r="64" spans="1:52">
      <c r="A64" t="s">
        <v>114</v>
      </c>
      <c r="B64">
        <v>12</v>
      </c>
      <c r="C64" s="2">
        <v>3</v>
      </c>
      <c r="D64" s="2">
        <v>9</v>
      </c>
      <c r="E64" s="2">
        <f t="shared" si="1"/>
        <v>0.25</v>
      </c>
      <c r="F64">
        <v>348</v>
      </c>
      <c r="G64">
        <v>29</v>
      </c>
      <c r="H64">
        <v>455</v>
      </c>
      <c r="I64">
        <v>37.9</v>
      </c>
      <c r="J64">
        <v>4704</v>
      </c>
      <c r="K64">
        <v>5.65</v>
      </c>
      <c r="L64">
        <v>39</v>
      </c>
      <c r="M64">
        <v>392</v>
      </c>
      <c r="N64">
        <v>5625</v>
      </c>
      <c r="O64">
        <v>6.52</v>
      </c>
      <c r="P64">
        <v>54</v>
      </c>
      <c r="Q64">
        <v>58</v>
      </c>
      <c r="R64">
        <v>468.8</v>
      </c>
      <c r="S64">
        <v>82</v>
      </c>
      <c r="T64">
        <v>771</v>
      </c>
      <c r="U64">
        <v>64.25</v>
      </c>
      <c r="V64">
        <v>7.39</v>
      </c>
      <c r="W64">
        <v>12.63</v>
      </c>
      <c r="X64">
        <v>267.2</v>
      </c>
      <c r="Y64">
        <v>7.01</v>
      </c>
      <c r="Z64">
        <v>12.36</v>
      </c>
      <c r="AA64">
        <v>225.6</v>
      </c>
      <c r="AB64">
        <v>130</v>
      </c>
      <c r="AC64">
        <v>477</v>
      </c>
      <c r="AD64">
        <v>2918</v>
      </c>
      <c r="AE64">
        <v>6.12</v>
      </c>
      <c r="AF64">
        <v>34</v>
      </c>
      <c r="AG64">
        <v>243.2</v>
      </c>
      <c r="AH64">
        <v>99</v>
      </c>
      <c r="AI64">
        <v>399</v>
      </c>
      <c r="AJ64">
        <v>1497</v>
      </c>
      <c r="AK64">
        <v>3.75</v>
      </c>
      <c r="AL64">
        <v>124.8</v>
      </c>
      <c r="AM64">
        <v>58</v>
      </c>
      <c r="AN64">
        <v>17</v>
      </c>
      <c r="AO64">
        <v>42</v>
      </c>
      <c r="AP64">
        <v>18</v>
      </c>
      <c r="AQ64">
        <v>32</v>
      </c>
      <c r="AR64">
        <v>210</v>
      </c>
      <c r="AS64">
        <v>2.67</v>
      </c>
      <c r="AT64">
        <v>229</v>
      </c>
      <c r="AU64">
        <v>55</v>
      </c>
      <c r="AV64">
        <v>4.5999999999999996</v>
      </c>
      <c r="AW64">
        <v>22</v>
      </c>
      <c r="AX64">
        <v>25</v>
      </c>
      <c r="AY64">
        <f t="shared" si="0"/>
        <v>-3</v>
      </c>
      <c r="AZ64">
        <f>AY64/B64</f>
        <v>-0.25</v>
      </c>
    </row>
    <row r="65" spans="1:52">
      <c r="A65" t="s">
        <v>115</v>
      </c>
      <c r="B65">
        <v>12</v>
      </c>
      <c r="C65" s="2">
        <v>1</v>
      </c>
      <c r="D65" s="2">
        <v>11</v>
      </c>
      <c r="E65" s="2">
        <f t="shared" si="1"/>
        <v>8.3333333333333329E-2</v>
      </c>
      <c r="F65">
        <v>336</v>
      </c>
      <c r="G65">
        <v>28</v>
      </c>
      <c r="H65">
        <v>494</v>
      </c>
      <c r="I65">
        <v>41.2</v>
      </c>
      <c r="J65">
        <v>4690</v>
      </c>
      <c r="K65">
        <v>6.11</v>
      </c>
      <c r="L65">
        <v>43</v>
      </c>
      <c r="M65">
        <v>390.8</v>
      </c>
      <c r="N65">
        <v>6199</v>
      </c>
      <c r="O65">
        <v>7.42</v>
      </c>
      <c r="P65">
        <v>62</v>
      </c>
      <c r="Q65">
        <v>64</v>
      </c>
      <c r="R65">
        <v>516.6</v>
      </c>
      <c r="S65">
        <v>55</v>
      </c>
      <c r="T65">
        <v>443</v>
      </c>
      <c r="U65">
        <v>36.92</v>
      </c>
      <c r="V65">
        <v>7.1</v>
      </c>
      <c r="W65">
        <v>12.31</v>
      </c>
      <c r="X65">
        <v>192.9</v>
      </c>
      <c r="Y65">
        <v>9.02</v>
      </c>
      <c r="Z65">
        <v>12.31</v>
      </c>
      <c r="AA65">
        <v>282</v>
      </c>
      <c r="AB65">
        <v>129</v>
      </c>
      <c r="AC65">
        <v>460</v>
      </c>
      <c r="AD65">
        <v>2815</v>
      </c>
      <c r="AE65">
        <v>6.12</v>
      </c>
      <c r="AF65">
        <v>37</v>
      </c>
      <c r="AG65">
        <v>234.6</v>
      </c>
      <c r="AH65">
        <v>27</v>
      </c>
      <c r="AI65">
        <v>441</v>
      </c>
      <c r="AJ65">
        <v>2375</v>
      </c>
      <c r="AK65">
        <v>5.39</v>
      </c>
      <c r="AL65">
        <v>197.9</v>
      </c>
      <c r="AM65">
        <v>64</v>
      </c>
      <c r="AN65">
        <v>15</v>
      </c>
      <c r="AO65">
        <v>44</v>
      </c>
      <c r="AP65">
        <v>9</v>
      </c>
      <c r="AQ65">
        <v>14</v>
      </c>
      <c r="AR65">
        <v>92</v>
      </c>
      <c r="AS65">
        <v>1.17</v>
      </c>
      <c r="AT65">
        <v>199</v>
      </c>
      <c r="AU65">
        <v>62</v>
      </c>
      <c r="AV65">
        <v>5.2</v>
      </c>
      <c r="AW65">
        <v>16</v>
      </c>
      <c r="AX65">
        <v>20</v>
      </c>
      <c r="AY65">
        <f t="shared" si="0"/>
        <v>-4</v>
      </c>
      <c r="AZ65">
        <f>AY65/B65</f>
        <v>-0.33333333333333331</v>
      </c>
    </row>
    <row r="66" spans="1:52">
      <c r="A66" t="s">
        <v>116</v>
      </c>
      <c r="B66">
        <v>13</v>
      </c>
      <c r="C66" s="2">
        <v>9</v>
      </c>
      <c r="D66" s="2">
        <v>4</v>
      </c>
      <c r="E66" s="2">
        <f t="shared" si="1"/>
        <v>0.69230769230769229</v>
      </c>
      <c r="F66">
        <v>367</v>
      </c>
      <c r="G66">
        <v>28.2</v>
      </c>
      <c r="H66">
        <v>180</v>
      </c>
      <c r="I66">
        <v>13.8</v>
      </c>
      <c r="J66">
        <v>5064</v>
      </c>
      <c r="K66">
        <v>5.87</v>
      </c>
      <c r="L66">
        <v>45</v>
      </c>
      <c r="M66">
        <v>389.5</v>
      </c>
      <c r="N66">
        <v>3836</v>
      </c>
      <c r="O66">
        <v>4.97</v>
      </c>
      <c r="P66">
        <v>18</v>
      </c>
      <c r="Q66">
        <v>18</v>
      </c>
      <c r="R66">
        <v>295.10000000000002</v>
      </c>
      <c r="S66">
        <v>46</v>
      </c>
      <c r="T66">
        <v>413</v>
      </c>
      <c r="U66">
        <v>31.77</v>
      </c>
      <c r="V66">
        <v>8.43</v>
      </c>
      <c r="W66">
        <v>13.77</v>
      </c>
      <c r="X66">
        <v>182.2</v>
      </c>
      <c r="Y66">
        <v>6.11</v>
      </c>
      <c r="Z66">
        <v>10.52</v>
      </c>
      <c r="AA66">
        <v>186.1</v>
      </c>
      <c r="AB66">
        <v>16</v>
      </c>
      <c r="AC66">
        <v>376</v>
      </c>
      <c r="AD66">
        <v>1417</v>
      </c>
      <c r="AE66">
        <v>3.77</v>
      </c>
      <c r="AF66">
        <v>10</v>
      </c>
      <c r="AG66">
        <v>109</v>
      </c>
      <c r="AH66">
        <v>16</v>
      </c>
      <c r="AI66">
        <v>581</v>
      </c>
      <c r="AJ66">
        <v>2695</v>
      </c>
      <c r="AK66">
        <v>4.6399999999999997</v>
      </c>
      <c r="AL66">
        <v>207.3</v>
      </c>
      <c r="AM66">
        <v>18</v>
      </c>
      <c r="AN66">
        <v>18</v>
      </c>
      <c r="AO66">
        <v>46</v>
      </c>
      <c r="AP66">
        <v>15</v>
      </c>
      <c r="AQ66">
        <v>15</v>
      </c>
      <c r="AR66">
        <v>101</v>
      </c>
      <c r="AS66">
        <v>1.1499999999999999</v>
      </c>
      <c r="AT66">
        <v>169</v>
      </c>
      <c r="AU66">
        <v>47</v>
      </c>
      <c r="AV66">
        <v>3.6</v>
      </c>
      <c r="AW66">
        <v>19</v>
      </c>
      <c r="AX66">
        <v>13</v>
      </c>
      <c r="AY66">
        <f t="shared" si="0"/>
        <v>6</v>
      </c>
      <c r="AZ66">
        <f>AY66/B66</f>
        <v>0.46153846153846156</v>
      </c>
    </row>
    <row r="67" spans="1:52">
      <c r="A67" t="s">
        <v>117</v>
      </c>
      <c r="B67">
        <v>13</v>
      </c>
      <c r="C67" s="2">
        <v>8</v>
      </c>
      <c r="D67" s="2">
        <v>5</v>
      </c>
      <c r="E67" s="2">
        <f t="shared" si="1"/>
        <v>0.61538461538461542</v>
      </c>
      <c r="F67">
        <v>358</v>
      </c>
      <c r="G67">
        <v>27.5</v>
      </c>
      <c r="H67">
        <v>320</v>
      </c>
      <c r="I67">
        <v>24.6</v>
      </c>
      <c r="J67">
        <v>5062</v>
      </c>
      <c r="K67">
        <v>5.69</v>
      </c>
      <c r="L67">
        <v>45</v>
      </c>
      <c r="M67">
        <v>389.4</v>
      </c>
      <c r="N67">
        <v>4500</v>
      </c>
      <c r="O67">
        <v>4.97</v>
      </c>
      <c r="P67">
        <v>36</v>
      </c>
      <c r="Q67">
        <v>39</v>
      </c>
      <c r="R67">
        <v>346.2</v>
      </c>
      <c r="S67">
        <v>80</v>
      </c>
      <c r="T67">
        <v>696</v>
      </c>
      <c r="U67">
        <v>53.54</v>
      </c>
      <c r="V67">
        <v>7.11</v>
      </c>
      <c r="W67">
        <v>12.25</v>
      </c>
      <c r="X67">
        <v>216.7</v>
      </c>
      <c r="Y67">
        <v>6.66</v>
      </c>
      <c r="Z67">
        <v>11.34</v>
      </c>
      <c r="AA67">
        <v>199.8</v>
      </c>
      <c r="AB67">
        <v>60</v>
      </c>
      <c r="AC67">
        <v>516</v>
      </c>
      <c r="AD67">
        <v>1902</v>
      </c>
      <c r="AE67">
        <v>3.69</v>
      </c>
      <c r="AF67">
        <v>20</v>
      </c>
      <c r="AG67">
        <v>146.30000000000001</v>
      </c>
      <c r="AH67">
        <v>51</v>
      </c>
      <c r="AI67">
        <v>493</v>
      </c>
      <c r="AJ67">
        <v>2245</v>
      </c>
      <c r="AK67">
        <v>4.55</v>
      </c>
      <c r="AL67">
        <v>172.7</v>
      </c>
      <c r="AM67">
        <v>39</v>
      </c>
      <c r="AN67">
        <v>15</v>
      </c>
      <c r="AO67">
        <v>46</v>
      </c>
      <c r="AP67">
        <v>11</v>
      </c>
      <c r="AQ67">
        <v>41</v>
      </c>
      <c r="AR67">
        <v>224</v>
      </c>
      <c r="AS67">
        <v>3.15</v>
      </c>
      <c r="AT67">
        <v>510</v>
      </c>
      <c r="AU67">
        <v>121</v>
      </c>
      <c r="AV67">
        <v>9.3000000000000007</v>
      </c>
      <c r="AW67">
        <v>24</v>
      </c>
      <c r="AX67">
        <v>27</v>
      </c>
      <c r="AY67">
        <f t="shared" ref="AY67:AY130" si="2">AW67-AX67</f>
        <v>-3</v>
      </c>
      <c r="AZ67">
        <f>AY67/B67</f>
        <v>-0.23076923076923078</v>
      </c>
    </row>
    <row r="68" spans="1:52">
      <c r="A68" t="s">
        <v>118</v>
      </c>
      <c r="B68">
        <v>12</v>
      </c>
      <c r="C68" s="2">
        <v>3</v>
      </c>
      <c r="D68" s="2">
        <v>9</v>
      </c>
      <c r="E68" s="2">
        <f t="shared" ref="E68:E131" si="3">C68/B68</f>
        <v>0.25</v>
      </c>
      <c r="F68">
        <v>313</v>
      </c>
      <c r="G68">
        <v>26.1</v>
      </c>
      <c r="H68">
        <v>377</v>
      </c>
      <c r="I68">
        <v>31.4</v>
      </c>
      <c r="J68">
        <v>4646</v>
      </c>
      <c r="K68">
        <v>5.9</v>
      </c>
      <c r="L68">
        <v>39</v>
      </c>
      <c r="M68">
        <v>387.2</v>
      </c>
      <c r="N68">
        <v>5058</v>
      </c>
      <c r="O68">
        <v>6.01</v>
      </c>
      <c r="P68">
        <v>45</v>
      </c>
      <c r="Q68">
        <v>46</v>
      </c>
      <c r="R68">
        <v>421.5</v>
      </c>
      <c r="S68">
        <v>87</v>
      </c>
      <c r="T68">
        <v>868</v>
      </c>
      <c r="U68">
        <v>72.33</v>
      </c>
      <c r="V68">
        <v>7.5</v>
      </c>
      <c r="W68">
        <v>11.2</v>
      </c>
      <c r="X68">
        <v>251.9</v>
      </c>
      <c r="Y68">
        <v>6.9</v>
      </c>
      <c r="Z68">
        <v>11.39</v>
      </c>
      <c r="AA68">
        <v>233.4</v>
      </c>
      <c r="AB68">
        <v>107</v>
      </c>
      <c r="AC68">
        <v>435</v>
      </c>
      <c r="AD68">
        <v>2257</v>
      </c>
      <c r="AE68">
        <v>5.19</v>
      </c>
      <c r="AF68">
        <v>31</v>
      </c>
      <c r="AG68">
        <v>188.1</v>
      </c>
      <c r="AH68">
        <v>90</v>
      </c>
      <c r="AI68">
        <v>385</v>
      </c>
      <c r="AJ68">
        <v>1623</v>
      </c>
      <c r="AK68">
        <v>4.22</v>
      </c>
      <c r="AL68">
        <v>135.19999999999999</v>
      </c>
      <c r="AM68">
        <v>46</v>
      </c>
      <c r="AN68">
        <v>18</v>
      </c>
      <c r="AO68">
        <v>40</v>
      </c>
      <c r="AP68">
        <v>11</v>
      </c>
      <c r="AQ68">
        <v>28</v>
      </c>
      <c r="AR68">
        <v>213</v>
      </c>
      <c r="AS68">
        <v>2.33</v>
      </c>
      <c r="AT68">
        <v>182</v>
      </c>
      <c r="AU68">
        <v>50</v>
      </c>
      <c r="AV68">
        <v>4.2</v>
      </c>
      <c r="AW68">
        <v>12</v>
      </c>
      <c r="AX68">
        <v>18</v>
      </c>
      <c r="AY68">
        <f t="shared" si="2"/>
        <v>-6</v>
      </c>
      <c r="AZ68">
        <f>AY68/B68</f>
        <v>-0.5</v>
      </c>
    </row>
    <row r="69" spans="1:52">
      <c r="A69" t="s">
        <v>119</v>
      </c>
      <c r="B69">
        <v>12</v>
      </c>
      <c r="C69" s="2">
        <v>3</v>
      </c>
      <c r="D69" s="2">
        <v>9</v>
      </c>
      <c r="E69" s="2">
        <f t="shared" si="3"/>
        <v>0.25</v>
      </c>
      <c r="F69">
        <v>293</v>
      </c>
      <c r="G69">
        <v>24.4</v>
      </c>
      <c r="H69">
        <v>473</v>
      </c>
      <c r="I69">
        <v>39.4</v>
      </c>
      <c r="J69">
        <v>4645</v>
      </c>
      <c r="K69">
        <v>5.81</v>
      </c>
      <c r="L69">
        <v>40</v>
      </c>
      <c r="M69">
        <v>387.1</v>
      </c>
      <c r="N69">
        <v>5805</v>
      </c>
      <c r="O69">
        <v>7.08</v>
      </c>
      <c r="P69">
        <v>57</v>
      </c>
      <c r="Q69">
        <v>62</v>
      </c>
      <c r="R69">
        <v>483.8</v>
      </c>
      <c r="S69">
        <v>81</v>
      </c>
      <c r="T69">
        <v>714</v>
      </c>
      <c r="U69">
        <v>59.5</v>
      </c>
      <c r="V69">
        <v>7.58</v>
      </c>
      <c r="W69">
        <v>12.65</v>
      </c>
      <c r="X69">
        <v>271</v>
      </c>
      <c r="Y69">
        <v>9.74</v>
      </c>
      <c r="Z69">
        <v>13.92</v>
      </c>
      <c r="AA69">
        <v>278.5</v>
      </c>
      <c r="AB69">
        <v>121</v>
      </c>
      <c r="AC69">
        <v>477</v>
      </c>
      <c r="AD69">
        <v>2463</v>
      </c>
      <c r="AE69">
        <v>5.16</v>
      </c>
      <c r="AF69">
        <v>29</v>
      </c>
      <c r="AG69">
        <v>205.2</v>
      </c>
      <c r="AH69">
        <v>109</v>
      </c>
      <c r="AI69">
        <v>371</v>
      </c>
      <c r="AJ69">
        <v>1393</v>
      </c>
      <c r="AK69">
        <v>3.75</v>
      </c>
      <c r="AL69">
        <v>116.1</v>
      </c>
      <c r="AM69">
        <v>62</v>
      </c>
      <c r="AN69">
        <v>14</v>
      </c>
      <c r="AO69">
        <v>41</v>
      </c>
      <c r="AP69">
        <v>3</v>
      </c>
      <c r="AQ69">
        <v>34</v>
      </c>
      <c r="AR69">
        <v>236</v>
      </c>
      <c r="AS69">
        <v>2.83</v>
      </c>
      <c r="AT69">
        <v>196</v>
      </c>
      <c r="AU69">
        <v>62</v>
      </c>
      <c r="AV69">
        <v>5.2</v>
      </c>
      <c r="AW69">
        <v>13</v>
      </c>
      <c r="AX69">
        <v>21</v>
      </c>
      <c r="AY69">
        <f t="shared" si="2"/>
        <v>-8</v>
      </c>
      <c r="AZ69">
        <f>AY69/B69</f>
        <v>-0.66666666666666663</v>
      </c>
    </row>
    <row r="70" spans="1:52">
      <c r="A70" t="s">
        <v>120</v>
      </c>
      <c r="B70">
        <v>14</v>
      </c>
      <c r="C70" s="2">
        <v>10</v>
      </c>
      <c r="D70" s="2">
        <v>4</v>
      </c>
      <c r="E70" s="2">
        <f t="shared" si="3"/>
        <v>0.7142857142857143</v>
      </c>
      <c r="F70">
        <v>413</v>
      </c>
      <c r="G70">
        <v>29.5</v>
      </c>
      <c r="H70">
        <v>273</v>
      </c>
      <c r="I70">
        <v>19.5</v>
      </c>
      <c r="J70">
        <v>5414</v>
      </c>
      <c r="K70">
        <v>5.79</v>
      </c>
      <c r="L70">
        <v>47</v>
      </c>
      <c r="M70">
        <v>386.7</v>
      </c>
      <c r="N70">
        <v>4095</v>
      </c>
      <c r="O70">
        <v>4.75</v>
      </c>
      <c r="P70">
        <v>29</v>
      </c>
      <c r="Q70">
        <v>33</v>
      </c>
      <c r="R70">
        <v>292.5</v>
      </c>
      <c r="S70">
        <v>78</v>
      </c>
      <c r="T70">
        <v>664</v>
      </c>
      <c r="U70">
        <v>47.43</v>
      </c>
      <c r="V70">
        <v>6.93</v>
      </c>
      <c r="W70">
        <v>11.65</v>
      </c>
      <c r="X70">
        <v>190.6</v>
      </c>
      <c r="Y70">
        <v>6.49</v>
      </c>
      <c r="Z70">
        <v>12.56</v>
      </c>
      <c r="AA70">
        <v>167.7</v>
      </c>
      <c r="AB70">
        <v>31</v>
      </c>
      <c r="AC70">
        <v>500</v>
      </c>
      <c r="AD70">
        <v>1747</v>
      </c>
      <c r="AE70">
        <v>3.49</v>
      </c>
      <c r="AF70">
        <v>16</v>
      </c>
      <c r="AG70">
        <v>124.8</v>
      </c>
      <c r="AH70">
        <v>29</v>
      </c>
      <c r="AI70">
        <v>550</v>
      </c>
      <c r="AJ70">
        <v>2746</v>
      </c>
      <c r="AK70">
        <v>4.99</v>
      </c>
      <c r="AL70">
        <v>196.1</v>
      </c>
      <c r="AM70">
        <v>33</v>
      </c>
      <c r="AN70">
        <v>14</v>
      </c>
      <c r="AO70">
        <v>49</v>
      </c>
      <c r="AP70">
        <v>23</v>
      </c>
      <c r="AQ70">
        <v>14</v>
      </c>
      <c r="AR70">
        <v>111</v>
      </c>
      <c r="AS70">
        <v>1</v>
      </c>
      <c r="AT70">
        <v>339</v>
      </c>
      <c r="AU70">
        <v>81</v>
      </c>
      <c r="AV70">
        <v>5.8</v>
      </c>
      <c r="AW70">
        <v>20</v>
      </c>
      <c r="AX70">
        <v>17</v>
      </c>
      <c r="AY70">
        <f t="shared" si="2"/>
        <v>3</v>
      </c>
      <c r="AZ70">
        <f>AY70/B70</f>
        <v>0.21428571428571427</v>
      </c>
    </row>
    <row r="71" spans="1:52">
      <c r="A71" t="s">
        <v>121</v>
      </c>
      <c r="B71">
        <v>12</v>
      </c>
      <c r="C71" s="2">
        <v>5</v>
      </c>
      <c r="D71" s="2">
        <v>7</v>
      </c>
      <c r="E71" s="2">
        <f t="shared" si="3"/>
        <v>0.41666666666666669</v>
      </c>
      <c r="F71">
        <v>293</v>
      </c>
      <c r="G71">
        <v>24.4</v>
      </c>
      <c r="H71">
        <v>324</v>
      </c>
      <c r="I71">
        <v>27</v>
      </c>
      <c r="J71">
        <v>4618</v>
      </c>
      <c r="K71">
        <v>5.47</v>
      </c>
      <c r="L71">
        <v>29</v>
      </c>
      <c r="M71">
        <v>384.8</v>
      </c>
      <c r="N71">
        <v>4230</v>
      </c>
      <c r="O71">
        <v>5.87</v>
      </c>
      <c r="P71">
        <v>36</v>
      </c>
      <c r="Q71">
        <v>41</v>
      </c>
      <c r="R71">
        <v>352.5</v>
      </c>
      <c r="S71">
        <v>78</v>
      </c>
      <c r="T71">
        <v>669</v>
      </c>
      <c r="U71">
        <v>55.75</v>
      </c>
      <c r="V71">
        <v>6.87</v>
      </c>
      <c r="W71">
        <v>12.93</v>
      </c>
      <c r="X71">
        <v>217.7</v>
      </c>
      <c r="Y71">
        <v>8.17</v>
      </c>
      <c r="Z71">
        <v>14.43</v>
      </c>
      <c r="AA71">
        <v>216.5</v>
      </c>
      <c r="AB71">
        <v>45</v>
      </c>
      <c r="AC71">
        <v>403</v>
      </c>
      <c r="AD71">
        <v>1632</v>
      </c>
      <c r="AE71">
        <v>4.05</v>
      </c>
      <c r="AF71">
        <v>13</v>
      </c>
      <c r="AG71">
        <v>136</v>
      </c>
      <c r="AH71">
        <v>56</v>
      </c>
      <c r="AI71">
        <v>464</v>
      </c>
      <c r="AJ71">
        <v>2006</v>
      </c>
      <c r="AK71">
        <v>4.32</v>
      </c>
      <c r="AL71">
        <v>167.2</v>
      </c>
      <c r="AM71">
        <v>41</v>
      </c>
      <c r="AN71">
        <v>13</v>
      </c>
      <c r="AO71">
        <v>32</v>
      </c>
      <c r="AP71">
        <v>22</v>
      </c>
      <c r="AQ71">
        <v>24</v>
      </c>
      <c r="AR71">
        <v>203</v>
      </c>
      <c r="AS71">
        <v>2</v>
      </c>
      <c r="AT71">
        <v>286</v>
      </c>
      <c r="AU71">
        <v>76</v>
      </c>
      <c r="AV71">
        <v>6.3</v>
      </c>
      <c r="AW71">
        <v>16</v>
      </c>
      <c r="AX71">
        <v>21</v>
      </c>
      <c r="AY71">
        <f t="shared" si="2"/>
        <v>-5</v>
      </c>
      <c r="AZ71">
        <f>AY71/B71</f>
        <v>-0.41666666666666669</v>
      </c>
    </row>
    <row r="72" spans="1:52">
      <c r="A72" t="s">
        <v>122</v>
      </c>
      <c r="B72">
        <v>12</v>
      </c>
      <c r="C72" s="2">
        <v>5</v>
      </c>
      <c r="D72" s="2">
        <v>7</v>
      </c>
      <c r="E72" s="2">
        <f t="shared" si="3"/>
        <v>0.41666666666666669</v>
      </c>
      <c r="F72">
        <v>279</v>
      </c>
      <c r="G72">
        <v>23.2</v>
      </c>
      <c r="H72">
        <v>323</v>
      </c>
      <c r="I72">
        <v>26.9</v>
      </c>
      <c r="J72">
        <v>4610</v>
      </c>
      <c r="K72">
        <v>5.13</v>
      </c>
      <c r="L72">
        <v>32</v>
      </c>
      <c r="M72">
        <v>384.2</v>
      </c>
      <c r="N72">
        <v>4781</v>
      </c>
      <c r="O72">
        <v>5.05</v>
      </c>
      <c r="P72">
        <v>40</v>
      </c>
      <c r="Q72">
        <v>40</v>
      </c>
      <c r="R72">
        <v>398.4</v>
      </c>
      <c r="S72">
        <v>72</v>
      </c>
      <c r="T72">
        <v>671</v>
      </c>
      <c r="U72">
        <v>55.92</v>
      </c>
      <c r="V72">
        <v>5.7</v>
      </c>
      <c r="W72">
        <v>9.5500000000000007</v>
      </c>
      <c r="X72">
        <v>228.5</v>
      </c>
      <c r="Y72">
        <v>6.23</v>
      </c>
      <c r="Z72">
        <v>10.76</v>
      </c>
      <c r="AA72">
        <v>216.1</v>
      </c>
      <c r="AB72">
        <v>105</v>
      </c>
      <c r="AC72">
        <v>531</v>
      </c>
      <c r="AD72">
        <v>2188</v>
      </c>
      <c r="AE72">
        <v>4.12</v>
      </c>
      <c r="AF72">
        <v>23</v>
      </c>
      <c r="AG72">
        <v>182.3</v>
      </c>
      <c r="AH72">
        <v>66</v>
      </c>
      <c r="AI72">
        <v>417</v>
      </c>
      <c r="AJ72">
        <v>1868</v>
      </c>
      <c r="AK72">
        <v>4.4800000000000004</v>
      </c>
      <c r="AL72">
        <v>155.69999999999999</v>
      </c>
      <c r="AM72">
        <v>40</v>
      </c>
      <c r="AN72">
        <v>14</v>
      </c>
      <c r="AO72">
        <v>33</v>
      </c>
      <c r="AP72">
        <v>17</v>
      </c>
      <c r="AQ72">
        <v>14</v>
      </c>
      <c r="AR72">
        <v>121</v>
      </c>
      <c r="AS72">
        <v>1.17</v>
      </c>
      <c r="AT72">
        <v>251</v>
      </c>
      <c r="AU72">
        <v>65</v>
      </c>
      <c r="AV72">
        <v>5.4</v>
      </c>
      <c r="AW72">
        <v>15</v>
      </c>
      <c r="AX72">
        <v>21</v>
      </c>
      <c r="AY72">
        <f t="shared" si="2"/>
        <v>-6</v>
      </c>
      <c r="AZ72">
        <f>AY72/B72</f>
        <v>-0.5</v>
      </c>
    </row>
    <row r="73" spans="1:52">
      <c r="A73" t="s">
        <v>123</v>
      </c>
      <c r="B73">
        <v>13</v>
      </c>
      <c r="C73" s="2">
        <v>8</v>
      </c>
      <c r="D73" s="2">
        <v>5</v>
      </c>
      <c r="E73" s="2">
        <f t="shared" si="3"/>
        <v>0.61538461538461542</v>
      </c>
      <c r="F73">
        <v>315</v>
      </c>
      <c r="G73">
        <v>24.2</v>
      </c>
      <c r="H73">
        <v>166</v>
      </c>
      <c r="I73">
        <v>12.8</v>
      </c>
      <c r="J73">
        <v>4928</v>
      </c>
      <c r="K73">
        <v>5.25</v>
      </c>
      <c r="L73">
        <v>33</v>
      </c>
      <c r="M73">
        <v>379.1</v>
      </c>
      <c r="N73">
        <v>3556</v>
      </c>
      <c r="O73">
        <v>4.3899999999999997</v>
      </c>
      <c r="P73">
        <v>15</v>
      </c>
      <c r="Q73">
        <v>16</v>
      </c>
      <c r="R73">
        <v>273.5</v>
      </c>
      <c r="S73">
        <v>85</v>
      </c>
      <c r="T73">
        <v>798</v>
      </c>
      <c r="U73">
        <v>61.38</v>
      </c>
      <c r="V73">
        <v>6.97</v>
      </c>
      <c r="W73">
        <v>10.01</v>
      </c>
      <c r="X73">
        <v>211.8</v>
      </c>
      <c r="Y73">
        <v>5.44</v>
      </c>
      <c r="Z73">
        <v>10.61</v>
      </c>
      <c r="AA73">
        <v>173.8</v>
      </c>
      <c r="AB73">
        <v>10</v>
      </c>
      <c r="AC73">
        <v>395</v>
      </c>
      <c r="AD73">
        <v>1297</v>
      </c>
      <c r="AE73">
        <v>3.28</v>
      </c>
      <c r="AF73">
        <v>6</v>
      </c>
      <c r="AG73">
        <v>99.8</v>
      </c>
      <c r="AH73">
        <v>55</v>
      </c>
      <c r="AI73">
        <v>544</v>
      </c>
      <c r="AJ73">
        <v>2175</v>
      </c>
      <c r="AK73">
        <v>4</v>
      </c>
      <c r="AL73">
        <v>167.3</v>
      </c>
      <c r="AM73">
        <v>16</v>
      </c>
      <c r="AN73">
        <v>19</v>
      </c>
      <c r="AO73">
        <v>36</v>
      </c>
      <c r="AP73">
        <v>21</v>
      </c>
      <c r="AQ73">
        <v>28</v>
      </c>
      <c r="AR73">
        <v>179</v>
      </c>
      <c r="AS73">
        <v>2.15</v>
      </c>
      <c r="AT73">
        <v>341</v>
      </c>
      <c r="AU73">
        <v>81</v>
      </c>
      <c r="AV73">
        <v>6.2</v>
      </c>
      <c r="AW73">
        <v>32</v>
      </c>
      <c r="AX73">
        <v>17</v>
      </c>
      <c r="AY73">
        <f t="shared" si="2"/>
        <v>15</v>
      </c>
      <c r="AZ73">
        <f>AY73/B73</f>
        <v>1.1538461538461537</v>
      </c>
    </row>
    <row r="74" spans="1:52">
      <c r="A74" t="s">
        <v>124</v>
      </c>
      <c r="B74">
        <v>13</v>
      </c>
      <c r="C74" s="2">
        <v>8</v>
      </c>
      <c r="D74" s="2">
        <v>5</v>
      </c>
      <c r="E74" s="2">
        <f t="shared" si="3"/>
        <v>0.61538461538461542</v>
      </c>
      <c r="F74">
        <v>418</v>
      </c>
      <c r="G74">
        <v>32.200000000000003</v>
      </c>
      <c r="H74">
        <v>375</v>
      </c>
      <c r="I74">
        <v>28.8</v>
      </c>
      <c r="J74">
        <v>4925</v>
      </c>
      <c r="K74">
        <v>5.92</v>
      </c>
      <c r="L74">
        <v>50</v>
      </c>
      <c r="M74">
        <v>378.8</v>
      </c>
      <c r="N74">
        <v>5261</v>
      </c>
      <c r="O74">
        <v>5.68</v>
      </c>
      <c r="P74">
        <v>47</v>
      </c>
      <c r="Q74">
        <v>48</v>
      </c>
      <c r="R74">
        <v>404.7</v>
      </c>
      <c r="S74">
        <v>90</v>
      </c>
      <c r="T74">
        <v>829</v>
      </c>
      <c r="U74">
        <v>63.77</v>
      </c>
      <c r="V74">
        <v>8.0299999999999994</v>
      </c>
      <c r="W74">
        <v>12.03</v>
      </c>
      <c r="X74">
        <v>260</v>
      </c>
      <c r="Y74">
        <v>6.65</v>
      </c>
      <c r="Z74">
        <v>12.38</v>
      </c>
      <c r="AA74">
        <v>206.7</v>
      </c>
      <c r="AB74">
        <v>117</v>
      </c>
      <c r="AC74">
        <v>522</v>
      </c>
      <c r="AD74">
        <v>2574</v>
      </c>
      <c r="AE74">
        <v>4.93</v>
      </c>
      <c r="AF74">
        <v>23</v>
      </c>
      <c r="AG74">
        <v>198</v>
      </c>
      <c r="AH74">
        <v>106</v>
      </c>
      <c r="AI74">
        <v>411</v>
      </c>
      <c r="AJ74">
        <v>1545</v>
      </c>
      <c r="AK74">
        <v>3.76</v>
      </c>
      <c r="AL74">
        <v>118.8</v>
      </c>
      <c r="AM74">
        <v>48</v>
      </c>
      <c r="AN74">
        <v>12</v>
      </c>
      <c r="AO74">
        <v>55</v>
      </c>
      <c r="AP74">
        <v>11</v>
      </c>
      <c r="AQ74">
        <v>31</v>
      </c>
      <c r="AR74">
        <v>188</v>
      </c>
      <c r="AS74">
        <v>2.38</v>
      </c>
      <c r="AT74">
        <v>258</v>
      </c>
      <c r="AU74">
        <v>57</v>
      </c>
      <c r="AV74">
        <v>4.4000000000000004</v>
      </c>
      <c r="AW74">
        <v>23</v>
      </c>
      <c r="AX74">
        <v>27</v>
      </c>
      <c r="AY74">
        <f t="shared" si="2"/>
        <v>-4</v>
      </c>
      <c r="AZ74">
        <f>AY74/B74</f>
        <v>-0.30769230769230771</v>
      </c>
    </row>
    <row r="75" spans="1:52">
      <c r="A75" t="s">
        <v>125</v>
      </c>
      <c r="B75">
        <v>12</v>
      </c>
      <c r="C75" s="2">
        <v>5</v>
      </c>
      <c r="D75" s="2">
        <v>7</v>
      </c>
      <c r="E75" s="2">
        <f t="shared" si="3"/>
        <v>0.41666666666666669</v>
      </c>
      <c r="F75">
        <v>297</v>
      </c>
      <c r="G75">
        <v>24.8</v>
      </c>
      <c r="H75">
        <v>354</v>
      </c>
      <c r="I75">
        <v>29.5</v>
      </c>
      <c r="J75">
        <v>4542</v>
      </c>
      <c r="K75">
        <v>5.71</v>
      </c>
      <c r="L75">
        <v>34</v>
      </c>
      <c r="M75">
        <v>378.5</v>
      </c>
      <c r="N75">
        <v>4743</v>
      </c>
      <c r="O75">
        <v>5.52</v>
      </c>
      <c r="P75">
        <v>43</v>
      </c>
      <c r="Q75">
        <v>45</v>
      </c>
      <c r="R75">
        <v>395.2</v>
      </c>
      <c r="S75">
        <v>90</v>
      </c>
      <c r="T75">
        <v>688</v>
      </c>
      <c r="U75">
        <v>57.33</v>
      </c>
      <c r="V75">
        <v>6.73</v>
      </c>
      <c r="W75">
        <v>13.03</v>
      </c>
      <c r="X75">
        <v>172.7</v>
      </c>
      <c r="Y75">
        <v>6.48</v>
      </c>
      <c r="Z75">
        <v>11.22</v>
      </c>
      <c r="AA75">
        <v>222.6</v>
      </c>
      <c r="AB75">
        <v>97</v>
      </c>
      <c r="AC75">
        <v>447</v>
      </c>
      <c r="AD75">
        <v>2072</v>
      </c>
      <c r="AE75">
        <v>4.6399999999999997</v>
      </c>
      <c r="AF75">
        <v>28</v>
      </c>
      <c r="AG75">
        <v>172.7</v>
      </c>
      <c r="AH75">
        <v>18</v>
      </c>
      <c r="AI75">
        <v>488</v>
      </c>
      <c r="AJ75">
        <v>2470</v>
      </c>
      <c r="AK75">
        <v>5.0599999999999996</v>
      </c>
      <c r="AL75">
        <v>205.8</v>
      </c>
      <c r="AM75">
        <v>45</v>
      </c>
      <c r="AN75">
        <v>14</v>
      </c>
      <c r="AO75">
        <v>35</v>
      </c>
      <c r="AP75">
        <v>18</v>
      </c>
      <c r="AQ75">
        <v>32</v>
      </c>
      <c r="AR75">
        <v>196</v>
      </c>
      <c r="AS75">
        <v>2.67</v>
      </c>
      <c r="AT75">
        <v>269</v>
      </c>
      <c r="AU75">
        <v>62</v>
      </c>
      <c r="AV75">
        <v>5.2</v>
      </c>
      <c r="AW75">
        <v>13</v>
      </c>
      <c r="AX75">
        <v>23</v>
      </c>
      <c r="AY75">
        <f t="shared" si="2"/>
        <v>-10</v>
      </c>
      <c r="AZ75">
        <f>AY75/B75</f>
        <v>-0.83333333333333337</v>
      </c>
    </row>
    <row r="76" spans="1:52">
      <c r="A76" t="s">
        <v>126</v>
      </c>
      <c r="B76">
        <v>13</v>
      </c>
      <c r="C76" s="2">
        <v>7</v>
      </c>
      <c r="D76" s="2">
        <v>6</v>
      </c>
      <c r="E76" s="2">
        <f t="shared" si="3"/>
        <v>0.53846153846153844</v>
      </c>
      <c r="F76">
        <v>371</v>
      </c>
      <c r="G76">
        <v>28.5</v>
      </c>
      <c r="H76">
        <v>347</v>
      </c>
      <c r="I76">
        <v>26.7</v>
      </c>
      <c r="J76">
        <v>4903</v>
      </c>
      <c r="K76">
        <v>4.8899999999999997</v>
      </c>
      <c r="L76">
        <v>40</v>
      </c>
      <c r="M76">
        <v>377.2</v>
      </c>
      <c r="N76">
        <v>5127</v>
      </c>
      <c r="O76">
        <v>6.05</v>
      </c>
      <c r="P76">
        <v>42</v>
      </c>
      <c r="Q76">
        <v>44</v>
      </c>
      <c r="R76">
        <v>394.4</v>
      </c>
      <c r="S76">
        <v>72</v>
      </c>
      <c r="T76">
        <v>665</v>
      </c>
      <c r="U76">
        <v>51.15</v>
      </c>
      <c r="V76">
        <v>6.61</v>
      </c>
      <c r="W76">
        <v>11.21</v>
      </c>
      <c r="X76">
        <v>235.3</v>
      </c>
      <c r="Y76">
        <v>7.19</v>
      </c>
      <c r="Z76">
        <v>12.6</v>
      </c>
      <c r="AA76">
        <v>226.8</v>
      </c>
      <c r="AB76">
        <v>90</v>
      </c>
      <c r="AC76">
        <v>438</v>
      </c>
      <c r="AD76">
        <v>2185</v>
      </c>
      <c r="AE76">
        <v>4.99</v>
      </c>
      <c r="AF76">
        <v>23</v>
      </c>
      <c r="AG76">
        <v>168.1</v>
      </c>
      <c r="AH76">
        <v>77</v>
      </c>
      <c r="AI76">
        <v>539</v>
      </c>
      <c r="AJ76">
        <v>1844</v>
      </c>
      <c r="AK76">
        <v>3.42</v>
      </c>
      <c r="AL76">
        <v>141.80000000000001</v>
      </c>
      <c r="AM76">
        <v>44</v>
      </c>
      <c r="AN76">
        <v>13</v>
      </c>
      <c r="AO76">
        <v>43</v>
      </c>
      <c r="AP76">
        <v>24</v>
      </c>
      <c r="AQ76">
        <v>32</v>
      </c>
      <c r="AR76">
        <v>190</v>
      </c>
      <c r="AS76">
        <v>2.46</v>
      </c>
      <c r="AT76">
        <v>320</v>
      </c>
      <c r="AU76">
        <v>82</v>
      </c>
      <c r="AV76">
        <v>6.3</v>
      </c>
      <c r="AW76">
        <v>28</v>
      </c>
      <c r="AX76">
        <v>18</v>
      </c>
      <c r="AY76">
        <f t="shared" si="2"/>
        <v>10</v>
      </c>
      <c r="AZ76">
        <f>AY76/B76</f>
        <v>0.76923076923076927</v>
      </c>
    </row>
    <row r="77" spans="1:52">
      <c r="A77" t="s">
        <v>127</v>
      </c>
      <c r="B77">
        <v>13</v>
      </c>
      <c r="C77" s="2">
        <v>7</v>
      </c>
      <c r="D77" s="2">
        <v>6</v>
      </c>
      <c r="E77" s="2">
        <f t="shared" si="3"/>
        <v>0.53846153846153844</v>
      </c>
      <c r="F77">
        <v>360</v>
      </c>
      <c r="G77">
        <v>27.7</v>
      </c>
      <c r="H77">
        <v>300</v>
      </c>
      <c r="I77">
        <v>23.1</v>
      </c>
      <c r="J77">
        <v>4872</v>
      </c>
      <c r="K77">
        <v>5.97</v>
      </c>
      <c r="L77">
        <v>40</v>
      </c>
      <c r="M77">
        <v>374.8</v>
      </c>
      <c r="N77">
        <v>4272</v>
      </c>
      <c r="O77">
        <v>4.9000000000000004</v>
      </c>
      <c r="P77">
        <v>35</v>
      </c>
      <c r="Q77">
        <v>38</v>
      </c>
      <c r="R77">
        <v>328.6</v>
      </c>
      <c r="S77">
        <v>111</v>
      </c>
      <c r="T77">
        <v>819</v>
      </c>
      <c r="U77">
        <v>63</v>
      </c>
      <c r="V77">
        <v>8.1199999999999992</v>
      </c>
      <c r="W77">
        <v>13.19</v>
      </c>
      <c r="X77">
        <v>232.3</v>
      </c>
      <c r="Y77">
        <v>6.51</v>
      </c>
      <c r="Z77">
        <v>9.77</v>
      </c>
      <c r="AA77">
        <v>184.8</v>
      </c>
      <c r="AB77">
        <v>58</v>
      </c>
      <c r="AC77">
        <v>503</v>
      </c>
      <c r="AD77">
        <v>1869</v>
      </c>
      <c r="AE77">
        <v>3.72</v>
      </c>
      <c r="AF77">
        <v>17</v>
      </c>
      <c r="AG77">
        <v>143.80000000000001</v>
      </c>
      <c r="AH77">
        <v>74</v>
      </c>
      <c r="AI77">
        <v>444</v>
      </c>
      <c r="AJ77">
        <v>1852</v>
      </c>
      <c r="AK77">
        <v>4.17</v>
      </c>
      <c r="AL77">
        <v>142.5</v>
      </c>
      <c r="AM77">
        <v>38</v>
      </c>
      <c r="AN77">
        <v>12</v>
      </c>
      <c r="AO77">
        <v>43</v>
      </c>
      <c r="AP77">
        <v>20</v>
      </c>
      <c r="AQ77">
        <v>43</v>
      </c>
      <c r="AR77">
        <v>268</v>
      </c>
      <c r="AS77">
        <v>3.31</v>
      </c>
      <c r="AT77">
        <v>320</v>
      </c>
      <c r="AU77">
        <v>79</v>
      </c>
      <c r="AV77">
        <v>6.1</v>
      </c>
      <c r="AW77">
        <v>19</v>
      </c>
      <c r="AX77">
        <v>14</v>
      </c>
      <c r="AY77">
        <f t="shared" si="2"/>
        <v>5</v>
      </c>
      <c r="AZ77">
        <f>AY77/B77</f>
        <v>0.38461538461538464</v>
      </c>
    </row>
    <row r="78" spans="1:52">
      <c r="A78" t="s">
        <v>128</v>
      </c>
      <c r="B78">
        <v>13</v>
      </c>
      <c r="C78" s="2">
        <v>5</v>
      </c>
      <c r="D78" s="2">
        <v>8</v>
      </c>
      <c r="E78" s="2">
        <f t="shared" si="3"/>
        <v>0.38461538461538464</v>
      </c>
      <c r="F78">
        <v>328</v>
      </c>
      <c r="G78">
        <v>25.2</v>
      </c>
      <c r="H78">
        <v>444</v>
      </c>
      <c r="I78">
        <v>34.200000000000003</v>
      </c>
      <c r="J78">
        <v>4867</v>
      </c>
      <c r="K78">
        <v>5.65</v>
      </c>
      <c r="L78">
        <v>40</v>
      </c>
      <c r="M78">
        <v>374.4</v>
      </c>
      <c r="N78">
        <v>5080</v>
      </c>
      <c r="O78">
        <v>6.48</v>
      </c>
      <c r="P78">
        <v>50</v>
      </c>
      <c r="Q78">
        <v>57</v>
      </c>
      <c r="R78">
        <v>390.8</v>
      </c>
      <c r="S78">
        <v>78</v>
      </c>
      <c r="T78">
        <v>683</v>
      </c>
      <c r="U78">
        <v>52.54</v>
      </c>
      <c r="V78">
        <v>7.51</v>
      </c>
      <c r="W78">
        <v>13</v>
      </c>
      <c r="X78">
        <v>232.9</v>
      </c>
      <c r="Y78">
        <v>7.86</v>
      </c>
      <c r="Z78">
        <v>12.91</v>
      </c>
      <c r="AA78">
        <v>208.6</v>
      </c>
      <c r="AB78">
        <v>104</v>
      </c>
      <c r="AC78">
        <v>439</v>
      </c>
      <c r="AD78">
        <v>2368</v>
      </c>
      <c r="AE78">
        <v>5.39</v>
      </c>
      <c r="AF78">
        <v>21</v>
      </c>
      <c r="AG78">
        <v>182.2</v>
      </c>
      <c r="AH78">
        <v>81</v>
      </c>
      <c r="AI78">
        <v>459</v>
      </c>
      <c r="AJ78">
        <v>1839</v>
      </c>
      <c r="AK78">
        <v>4.01</v>
      </c>
      <c r="AL78">
        <v>141.5</v>
      </c>
      <c r="AM78">
        <v>57</v>
      </c>
      <c r="AN78">
        <v>15</v>
      </c>
      <c r="AO78">
        <v>42</v>
      </c>
      <c r="AP78">
        <v>12</v>
      </c>
      <c r="AQ78">
        <v>35</v>
      </c>
      <c r="AR78">
        <v>222</v>
      </c>
      <c r="AS78">
        <v>2.69</v>
      </c>
      <c r="AT78">
        <v>245</v>
      </c>
      <c r="AU78">
        <v>60</v>
      </c>
      <c r="AV78">
        <v>4.5999999999999996</v>
      </c>
      <c r="AW78">
        <v>19</v>
      </c>
      <c r="AX78">
        <v>32</v>
      </c>
      <c r="AY78">
        <f t="shared" si="2"/>
        <v>-13</v>
      </c>
      <c r="AZ78">
        <f>AY78/B78</f>
        <v>-1</v>
      </c>
    </row>
    <row r="79" spans="1:52">
      <c r="A79" t="s">
        <v>129</v>
      </c>
      <c r="B79">
        <v>13</v>
      </c>
      <c r="C79" s="2">
        <v>8</v>
      </c>
      <c r="D79" s="2">
        <v>5</v>
      </c>
      <c r="E79" s="2">
        <f t="shared" si="3"/>
        <v>0.61538461538461542</v>
      </c>
      <c r="F79">
        <v>375</v>
      </c>
      <c r="G79">
        <v>28.8</v>
      </c>
      <c r="H79">
        <v>360</v>
      </c>
      <c r="I79">
        <v>27.7</v>
      </c>
      <c r="J79">
        <v>4853</v>
      </c>
      <c r="K79">
        <v>5.03</v>
      </c>
      <c r="L79">
        <v>41</v>
      </c>
      <c r="M79">
        <v>373.3</v>
      </c>
      <c r="N79">
        <v>5323</v>
      </c>
      <c r="O79">
        <v>5.53</v>
      </c>
      <c r="P79">
        <v>43</v>
      </c>
      <c r="Q79">
        <v>46</v>
      </c>
      <c r="R79">
        <v>409.5</v>
      </c>
      <c r="S79">
        <v>85</v>
      </c>
      <c r="T79">
        <v>758</v>
      </c>
      <c r="U79">
        <v>58.31</v>
      </c>
      <c r="V79">
        <v>6.72</v>
      </c>
      <c r="W79">
        <v>10.09</v>
      </c>
      <c r="X79">
        <v>264.8</v>
      </c>
      <c r="Y79">
        <v>7.46</v>
      </c>
      <c r="Z79">
        <v>12.94</v>
      </c>
      <c r="AA79">
        <v>292.7</v>
      </c>
      <c r="AB79">
        <v>23</v>
      </c>
      <c r="AC79">
        <v>452</v>
      </c>
      <c r="AD79">
        <v>1518</v>
      </c>
      <c r="AE79">
        <v>3.36</v>
      </c>
      <c r="AF79">
        <v>14</v>
      </c>
      <c r="AG79">
        <v>116.8</v>
      </c>
      <c r="AH79">
        <v>114</v>
      </c>
      <c r="AI79">
        <v>453</v>
      </c>
      <c r="AJ79">
        <v>1411</v>
      </c>
      <c r="AK79">
        <v>3.11</v>
      </c>
      <c r="AL79">
        <v>108.5</v>
      </c>
      <c r="AM79">
        <v>46</v>
      </c>
      <c r="AN79">
        <v>13</v>
      </c>
      <c r="AO79">
        <v>47</v>
      </c>
      <c r="AP79">
        <v>16</v>
      </c>
      <c r="AQ79">
        <v>37</v>
      </c>
      <c r="AR79">
        <v>276</v>
      </c>
      <c r="AS79">
        <v>2.85</v>
      </c>
      <c r="AT79">
        <v>412</v>
      </c>
      <c r="AU79">
        <v>89</v>
      </c>
      <c r="AV79">
        <v>6.8</v>
      </c>
      <c r="AW79">
        <v>30</v>
      </c>
      <c r="AX79">
        <v>18</v>
      </c>
      <c r="AY79">
        <f t="shared" si="2"/>
        <v>12</v>
      </c>
      <c r="AZ79">
        <f>AY79/B79</f>
        <v>0.92307692307692313</v>
      </c>
    </row>
    <row r="80" spans="1:52">
      <c r="A80" t="s">
        <v>130</v>
      </c>
      <c r="B80">
        <v>12</v>
      </c>
      <c r="C80" s="2">
        <v>3</v>
      </c>
      <c r="D80" s="2">
        <v>9</v>
      </c>
      <c r="E80" s="2">
        <f t="shared" si="3"/>
        <v>0.25</v>
      </c>
      <c r="F80">
        <v>327</v>
      </c>
      <c r="G80">
        <v>27.2</v>
      </c>
      <c r="H80">
        <v>393</v>
      </c>
      <c r="I80">
        <v>32.799999999999997</v>
      </c>
      <c r="J80">
        <v>4477</v>
      </c>
      <c r="K80">
        <v>5.55</v>
      </c>
      <c r="L80">
        <v>37</v>
      </c>
      <c r="M80">
        <v>373.1</v>
      </c>
      <c r="N80">
        <v>4748</v>
      </c>
      <c r="O80">
        <v>5.88</v>
      </c>
      <c r="P80">
        <v>46</v>
      </c>
      <c r="Q80">
        <v>50</v>
      </c>
      <c r="R80">
        <v>395.7</v>
      </c>
      <c r="S80">
        <v>76</v>
      </c>
      <c r="T80">
        <v>750</v>
      </c>
      <c r="U80">
        <v>62.5</v>
      </c>
      <c r="V80">
        <v>6.68</v>
      </c>
      <c r="W80">
        <v>11.85</v>
      </c>
      <c r="X80">
        <v>182.7</v>
      </c>
      <c r="Y80">
        <v>8.4</v>
      </c>
      <c r="Z80">
        <v>13.54</v>
      </c>
      <c r="AA80">
        <v>252.8</v>
      </c>
      <c r="AB80">
        <v>53</v>
      </c>
      <c r="AC80">
        <v>446</v>
      </c>
      <c r="AD80">
        <v>1714</v>
      </c>
      <c r="AE80">
        <v>3.84</v>
      </c>
      <c r="AF80">
        <v>14</v>
      </c>
      <c r="AG80">
        <v>142.80000000000001</v>
      </c>
      <c r="AH80">
        <v>34</v>
      </c>
      <c r="AI80">
        <v>478</v>
      </c>
      <c r="AJ80">
        <v>2285</v>
      </c>
      <c r="AK80">
        <v>4.78</v>
      </c>
      <c r="AL80">
        <v>190.4</v>
      </c>
      <c r="AM80">
        <v>50</v>
      </c>
      <c r="AN80">
        <v>14</v>
      </c>
      <c r="AO80">
        <v>39</v>
      </c>
      <c r="AP80">
        <v>18</v>
      </c>
      <c r="AQ80">
        <v>12</v>
      </c>
      <c r="AR80">
        <v>81</v>
      </c>
      <c r="AS80">
        <v>1</v>
      </c>
      <c r="AT80">
        <v>284</v>
      </c>
      <c r="AU80">
        <v>64</v>
      </c>
      <c r="AV80">
        <v>5.3</v>
      </c>
      <c r="AW80">
        <v>20</v>
      </c>
      <c r="AX80">
        <v>16</v>
      </c>
      <c r="AY80">
        <f t="shared" si="2"/>
        <v>4</v>
      </c>
      <c r="AZ80">
        <f>AY80/B80</f>
        <v>0.33333333333333331</v>
      </c>
    </row>
    <row r="81" spans="1:52">
      <c r="A81" t="s">
        <v>131</v>
      </c>
      <c r="B81">
        <v>12</v>
      </c>
      <c r="C81" s="2">
        <v>2</v>
      </c>
      <c r="D81" s="2">
        <v>10</v>
      </c>
      <c r="E81" s="2">
        <f t="shared" si="3"/>
        <v>0.16666666666666666</v>
      </c>
      <c r="F81">
        <v>261</v>
      </c>
      <c r="G81">
        <v>21.8</v>
      </c>
      <c r="H81">
        <v>402</v>
      </c>
      <c r="I81">
        <v>33.5</v>
      </c>
      <c r="J81">
        <v>4472</v>
      </c>
      <c r="K81">
        <v>5.1100000000000003</v>
      </c>
      <c r="L81">
        <v>31</v>
      </c>
      <c r="M81">
        <v>372.7</v>
      </c>
      <c r="N81">
        <v>4874</v>
      </c>
      <c r="O81">
        <v>6</v>
      </c>
      <c r="P81">
        <v>47</v>
      </c>
      <c r="Q81">
        <v>51</v>
      </c>
      <c r="R81">
        <v>406.2</v>
      </c>
      <c r="S81">
        <v>80</v>
      </c>
      <c r="T81">
        <v>721</v>
      </c>
      <c r="U81">
        <v>60.08</v>
      </c>
      <c r="V81">
        <v>6.77</v>
      </c>
      <c r="W81">
        <v>10.52</v>
      </c>
      <c r="X81">
        <v>283.10000000000002</v>
      </c>
      <c r="Y81">
        <v>8.24</v>
      </c>
      <c r="Z81">
        <v>13.73</v>
      </c>
      <c r="AA81">
        <v>243.8</v>
      </c>
      <c r="AB81">
        <v>82</v>
      </c>
      <c r="AC81">
        <v>458</v>
      </c>
      <c r="AD81">
        <v>1949</v>
      </c>
      <c r="AE81">
        <v>4.26</v>
      </c>
      <c r="AF81">
        <v>25</v>
      </c>
      <c r="AG81">
        <v>162.4</v>
      </c>
      <c r="AH81">
        <v>126</v>
      </c>
      <c r="AI81">
        <v>373</v>
      </c>
      <c r="AJ81">
        <v>1075</v>
      </c>
      <c r="AK81">
        <v>2.88</v>
      </c>
      <c r="AL81">
        <v>89.6</v>
      </c>
      <c r="AM81">
        <v>51</v>
      </c>
      <c r="AN81">
        <v>16</v>
      </c>
      <c r="AO81">
        <v>32</v>
      </c>
      <c r="AP81">
        <v>13</v>
      </c>
      <c r="AQ81">
        <v>55</v>
      </c>
      <c r="AR81">
        <v>379</v>
      </c>
      <c r="AS81">
        <v>4.58</v>
      </c>
      <c r="AT81">
        <v>201</v>
      </c>
      <c r="AU81">
        <v>58</v>
      </c>
      <c r="AV81">
        <v>4.8</v>
      </c>
      <c r="AW81">
        <v>13</v>
      </c>
      <c r="AX81">
        <v>26</v>
      </c>
      <c r="AY81">
        <f t="shared" si="2"/>
        <v>-13</v>
      </c>
      <c r="AZ81">
        <f>AY81/B81</f>
        <v>-1.0833333333333333</v>
      </c>
    </row>
    <row r="82" spans="1:52">
      <c r="A82" t="s">
        <v>132</v>
      </c>
      <c r="B82">
        <v>13</v>
      </c>
      <c r="C82" s="2">
        <v>9</v>
      </c>
      <c r="D82" s="2">
        <v>4</v>
      </c>
      <c r="E82" s="2">
        <f t="shared" si="3"/>
        <v>0.69230769230769229</v>
      </c>
      <c r="F82">
        <v>380</v>
      </c>
      <c r="G82">
        <v>29.2</v>
      </c>
      <c r="H82">
        <v>268</v>
      </c>
      <c r="I82">
        <v>20.6</v>
      </c>
      <c r="J82">
        <v>4840</v>
      </c>
      <c r="K82">
        <v>5.76</v>
      </c>
      <c r="L82">
        <v>41</v>
      </c>
      <c r="M82">
        <v>372.3</v>
      </c>
      <c r="N82">
        <v>4361</v>
      </c>
      <c r="O82">
        <v>4.62</v>
      </c>
      <c r="P82">
        <v>33</v>
      </c>
      <c r="Q82">
        <v>33</v>
      </c>
      <c r="R82">
        <v>335.5</v>
      </c>
      <c r="S82">
        <v>98</v>
      </c>
      <c r="T82">
        <v>837</v>
      </c>
      <c r="U82">
        <v>64.38</v>
      </c>
      <c r="V82">
        <v>7.6</v>
      </c>
      <c r="W82">
        <v>12.72</v>
      </c>
      <c r="X82">
        <v>242.6</v>
      </c>
      <c r="Y82">
        <v>6.06</v>
      </c>
      <c r="Z82">
        <v>11.02</v>
      </c>
      <c r="AA82">
        <v>182.2</v>
      </c>
      <c r="AB82">
        <v>72</v>
      </c>
      <c r="AC82">
        <v>553</v>
      </c>
      <c r="AD82">
        <v>1992</v>
      </c>
      <c r="AE82">
        <v>3.6</v>
      </c>
      <c r="AF82">
        <v>18</v>
      </c>
      <c r="AG82">
        <v>153.19999999999999</v>
      </c>
      <c r="AH82">
        <v>94</v>
      </c>
      <c r="AI82">
        <v>426</v>
      </c>
      <c r="AJ82">
        <v>1686</v>
      </c>
      <c r="AK82">
        <v>3.96</v>
      </c>
      <c r="AL82">
        <v>129.69999999999999</v>
      </c>
      <c r="AM82">
        <v>33</v>
      </c>
      <c r="AN82">
        <v>12</v>
      </c>
      <c r="AO82">
        <v>46</v>
      </c>
      <c r="AP82">
        <v>19</v>
      </c>
      <c r="AQ82">
        <v>38</v>
      </c>
      <c r="AR82">
        <v>304</v>
      </c>
      <c r="AS82">
        <v>2.92</v>
      </c>
      <c r="AT82">
        <v>363</v>
      </c>
      <c r="AU82">
        <v>93</v>
      </c>
      <c r="AV82">
        <v>7.2</v>
      </c>
      <c r="AW82">
        <v>21</v>
      </c>
      <c r="AX82">
        <v>15</v>
      </c>
      <c r="AY82">
        <f t="shared" si="2"/>
        <v>6</v>
      </c>
      <c r="AZ82">
        <f>AY82/B82</f>
        <v>0.46153846153846156</v>
      </c>
    </row>
    <row r="83" spans="1:52">
      <c r="A83" t="s">
        <v>133</v>
      </c>
      <c r="B83">
        <v>13</v>
      </c>
      <c r="C83" s="2">
        <v>6</v>
      </c>
      <c r="D83" s="2">
        <v>7</v>
      </c>
      <c r="E83" s="2">
        <f t="shared" si="3"/>
        <v>0.46153846153846156</v>
      </c>
      <c r="F83">
        <v>323</v>
      </c>
      <c r="G83">
        <v>24.8</v>
      </c>
      <c r="H83">
        <v>327</v>
      </c>
      <c r="I83">
        <v>25.2</v>
      </c>
      <c r="J83">
        <v>4809</v>
      </c>
      <c r="K83">
        <v>5.43</v>
      </c>
      <c r="L83">
        <v>34</v>
      </c>
      <c r="M83">
        <v>369.9</v>
      </c>
      <c r="N83">
        <v>4431</v>
      </c>
      <c r="O83">
        <v>5.28</v>
      </c>
      <c r="P83">
        <v>37</v>
      </c>
      <c r="Q83">
        <v>41</v>
      </c>
      <c r="R83">
        <v>340.8</v>
      </c>
      <c r="S83">
        <v>101</v>
      </c>
      <c r="T83">
        <v>828</v>
      </c>
      <c r="U83">
        <v>63.69</v>
      </c>
      <c r="V83">
        <v>7.03</v>
      </c>
      <c r="W83">
        <v>11.11</v>
      </c>
      <c r="X83">
        <v>213.7</v>
      </c>
      <c r="Y83">
        <v>7.12</v>
      </c>
      <c r="Z83">
        <v>11.91</v>
      </c>
      <c r="AA83">
        <v>215.3</v>
      </c>
      <c r="AB83">
        <v>32</v>
      </c>
      <c r="AC83">
        <v>447</v>
      </c>
      <c r="AD83">
        <v>1632</v>
      </c>
      <c r="AE83">
        <v>3.65</v>
      </c>
      <c r="AF83">
        <v>19</v>
      </c>
      <c r="AG83">
        <v>125.5</v>
      </c>
      <c r="AH83">
        <v>64</v>
      </c>
      <c r="AI83">
        <v>491</v>
      </c>
      <c r="AJ83">
        <v>2031</v>
      </c>
      <c r="AK83">
        <v>4.1399999999999997</v>
      </c>
      <c r="AL83">
        <v>156.19999999999999</v>
      </c>
      <c r="AM83">
        <v>41</v>
      </c>
      <c r="AN83">
        <v>14</v>
      </c>
      <c r="AO83">
        <v>37</v>
      </c>
      <c r="AP83">
        <v>22</v>
      </c>
      <c r="AQ83">
        <v>27</v>
      </c>
      <c r="AR83">
        <v>173</v>
      </c>
      <c r="AS83">
        <v>2.08</v>
      </c>
      <c r="AT83">
        <v>329</v>
      </c>
      <c r="AU83">
        <v>93</v>
      </c>
      <c r="AV83">
        <v>7.2</v>
      </c>
      <c r="AW83">
        <v>18</v>
      </c>
      <c r="AX83">
        <v>21</v>
      </c>
      <c r="AY83">
        <f t="shared" si="2"/>
        <v>-3</v>
      </c>
      <c r="AZ83">
        <f>AY83/B83</f>
        <v>-0.23076923076923078</v>
      </c>
    </row>
    <row r="84" spans="1:52">
      <c r="A84" t="s">
        <v>134</v>
      </c>
      <c r="B84">
        <v>12</v>
      </c>
      <c r="C84" s="2">
        <v>4</v>
      </c>
      <c r="D84" s="2">
        <v>8</v>
      </c>
      <c r="E84" s="2">
        <f t="shared" si="3"/>
        <v>0.33333333333333331</v>
      </c>
      <c r="F84">
        <v>242</v>
      </c>
      <c r="G84">
        <v>20.2</v>
      </c>
      <c r="H84">
        <v>243</v>
      </c>
      <c r="I84">
        <v>20.2</v>
      </c>
      <c r="J84">
        <v>4437</v>
      </c>
      <c r="K84">
        <v>5.09</v>
      </c>
      <c r="L84">
        <v>29</v>
      </c>
      <c r="M84">
        <v>369.8</v>
      </c>
      <c r="N84">
        <v>3427</v>
      </c>
      <c r="O84">
        <v>4.7300000000000004</v>
      </c>
      <c r="P84">
        <v>28</v>
      </c>
      <c r="Q84">
        <v>30</v>
      </c>
      <c r="R84">
        <v>285.60000000000002</v>
      </c>
      <c r="S84">
        <v>67</v>
      </c>
      <c r="T84">
        <v>553</v>
      </c>
      <c r="U84">
        <v>46.08</v>
      </c>
      <c r="V84">
        <v>6.56</v>
      </c>
      <c r="W84">
        <v>10.039999999999999</v>
      </c>
      <c r="X84">
        <v>261.8</v>
      </c>
      <c r="Y84">
        <v>6.64</v>
      </c>
      <c r="Z84">
        <v>11.26</v>
      </c>
      <c r="AA84">
        <v>178.2</v>
      </c>
      <c r="AB84">
        <v>14</v>
      </c>
      <c r="AC84">
        <v>403</v>
      </c>
      <c r="AD84">
        <v>1288</v>
      </c>
      <c r="AE84">
        <v>3.2</v>
      </c>
      <c r="AF84">
        <v>8</v>
      </c>
      <c r="AG84">
        <v>107.3</v>
      </c>
      <c r="AH84">
        <v>116</v>
      </c>
      <c r="AI84">
        <v>393</v>
      </c>
      <c r="AJ84">
        <v>1296</v>
      </c>
      <c r="AK84">
        <v>3.3</v>
      </c>
      <c r="AL84">
        <v>108</v>
      </c>
      <c r="AM84">
        <v>30</v>
      </c>
      <c r="AN84">
        <v>11</v>
      </c>
      <c r="AO84">
        <v>29</v>
      </c>
      <c r="AP84">
        <v>13</v>
      </c>
      <c r="AQ84">
        <v>26</v>
      </c>
      <c r="AR84">
        <v>193</v>
      </c>
      <c r="AS84">
        <v>2.17</v>
      </c>
      <c r="AT84">
        <v>245</v>
      </c>
      <c r="AU84">
        <v>64</v>
      </c>
      <c r="AV84">
        <v>5.3</v>
      </c>
      <c r="AW84">
        <v>15</v>
      </c>
      <c r="AX84">
        <v>22</v>
      </c>
      <c r="AY84">
        <f t="shared" si="2"/>
        <v>-7</v>
      </c>
      <c r="AZ84">
        <f>AY84/B84</f>
        <v>-0.58333333333333337</v>
      </c>
    </row>
    <row r="85" spans="1:52">
      <c r="A85" t="s">
        <v>135</v>
      </c>
      <c r="B85">
        <v>12</v>
      </c>
      <c r="C85" s="2">
        <v>7</v>
      </c>
      <c r="D85" s="2">
        <v>5</v>
      </c>
      <c r="E85" s="2">
        <f t="shared" si="3"/>
        <v>0.58333333333333337</v>
      </c>
      <c r="F85">
        <v>329</v>
      </c>
      <c r="G85">
        <v>27.4</v>
      </c>
      <c r="H85">
        <v>264</v>
      </c>
      <c r="I85">
        <v>22</v>
      </c>
      <c r="J85">
        <v>4419</v>
      </c>
      <c r="K85">
        <v>5.71</v>
      </c>
      <c r="L85">
        <v>42</v>
      </c>
      <c r="M85">
        <v>368.2</v>
      </c>
      <c r="N85">
        <v>4079</v>
      </c>
      <c r="O85">
        <v>5.07</v>
      </c>
      <c r="P85">
        <v>30</v>
      </c>
      <c r="Q85">
        <v>33</v>
      </c>
      <c r="R85">
        <v>339.9</v>
      </c>
      <c r="S85">
        <v>70</v>
      </c>
      <c r="T85">
        <v>587</v>
      </c>
      <c r="U85">
        <v>48.92</v>
      </c>
      <c r="V85">
        <v>7.59</v>
      </c>
      <c r="W85">
        <v>12.58</v>
      </c>
      <c r="X85">
        <v>272.5</v>
      </c>
      <c r="Y85">
        <v>7.44</v>
      </c>
      <c r="Z85">
        <v>12.26</v>
      </c>
      <c r="AA85">
        <v>217.7</v>
      </c>
      <c r="AB85">
        <v>29</v>
      </c>
      <c r="AC85">
        <v>453</v>
      </c>
      <c r="AD85">
        <v>1467</v>
      </c>
      <c r="AE85">
        <v>3.24</v>
      </c>
      <c r="AF85">
        <v>15</v>
      </c>
      <c r="AG85">
        <v>122.2</v>
      </c>
      <c r="AH85">
        <v>123</v>
      </c>
      <c r="AI85">
        <v>343</v>
      </c>
      <c r="AJ85">
        <v>1149</v>
      </c>
      <c r="AK85">
        <v>3.35</v>
      </c>
      <c r="AL85">
        <v>95.8</v>
      </c>
      <c r="AM85">
        <v>33</v>
      </c>
      <c r="AN85">
        <v>10</v>
      </c>
      <c r="AO85">
        <v>42</v>
      </c>
      <c r="AP85">
        <v>12</v>
      </c>
      <c r="AQ85">
        <v>42</v>
      </c>
      <c r="AR85">
        <v>292</v>
      </c>
      <c r="AS85">
        <v>3.5</v>
      </c>
      <c r="AT85">
        <v>352</v>
      </c>
      <c r="AU85">
        <v>86</v>
      </c>
      <c r="AV85">
        <v>7.2</v>
      </c>
      <c r="AW85">
        <v>20</v>
      </c>
      <c r="AX85">
        <v>9</v>
      </c>
      <c r="AY85">
        <f t="shared" si="2"/>
        <v>11</v>
      </c>
      <c r="AZ85">
        <f>AY85/B85</f>
        <v>0.91666666666666663</v>
      </c>
    </row>
    <row r="86" spans="1:52">
      <c r="A86" t="s">
        <v>136</v>
      </c>
      <c r="B86">
        <v>12</v>
      </c>
      <c r="C86" s="2">
        <v>4</v>
      </c>
      <c r="D86" s="2">
        <v>8</v>
      </c>
      <c r="E86" s="2">
        <f t="shared" si="3"/>
        <v>0.33333333333333331</v>
      </c>
      <c r="F86">
        <v>297</v>
      </c>
      <c r="G86">
        <v>24.8</v>
      </c>
      <c r="H86">
        <v>338</v>
      </c>
      <c r="I86">
        <v>28.2</v>
      </c>
      <c r="J86">
        <v>4407</v>
      </c>
      <c r="K86">
        <v>5.28</v>
      </c>
      <c r="L86">
        <v>38</v>
      </c>
      <c r="M86">
        <v>367.2</v>
      </c>
      <c r="N86">
        <v>4492</v>
      </c>
      <c r="O86">
        <v>5.2</v>
      </c>
      <c r="P86">
        <v>41</v>
      </c>
      <c r="Q86">
        <v>44</v>
      </c>
      <c r="R86">
        <v>374.3</v>
      </c>
      <c r="S86">
        <v>84</v>
      </c>
      <c r="T86">
        <v>758</v>
      </c>
      <c r="U86">
        <v>63.17</v>
      </c>
      <c r="V86">
        <v>6.4</v>
      </c>
      <c r="W86">
        <v>11.4</v>
      </c>
      <c r="X86">
        <v>208.1</v>
      </c>
      <c r="Y86">
        <v>6.9</v>
      </c>
      <c r="Z86">
        <v>11.63</v>
      </c>
      <c r="AA86">
        <v>221.9</v>
      </c>
      <c r="AB86">
        <v>67</v>
      </c>
      <c r="AC86">
        <v>478</v>
      </c>
      <c r="AD86">
        <v>1795</v>
      </c>
      <c r="AE86">
        <v>3.76</v>
      </c>
      <c r="AF86">
        <v>20</v>
      </c>
      <c r="AG86">
        <v>149.6</v>
      </c>
      <c r="AH86">
        <v>61</v>
      </c>
      <c r="AI86">
        <v>444</v>
      </c>
      <c r="AJ86">
        <v>1910</v>
      </c>
      <c r="AK86">
        <v>4.3</v>
      </c>
      <c r="AL86">
        <v>159.19999999999999</v>
      </c>
      <c r="AM86">
        <v>44</v>
      </c>
      <c r="AN86">
        <v>9</v>
      </c>
      <c r="AO86">
        <v>40</v>
      </c>
      <c r="AP86">
        <v>6</v>
      </c>
      <c r="AQ86">
        <v>31</v>
      </c>
      <c r="AR86">
        <v>215</v>
      </c>
      <c r="AS86">
        <v>2.58</v>
      </c>
      <c r="AT86">
        <v>415</v>
      </c>
      <c r="AU86">
        <v>100</v>
      </c>
      <c r="AV86">
        <v>8.3000000000000007</v>
      </c>
      <c r="AW86">
        <v>10</v>
      </c>
      <c r="AX86">
        <v>28</v>
      </c>
      <c r="AY86">
        <f t="shared" si="2"/>
        <v>-18</v>
      </c>
      <c r="AZ86">
        <f>AY86/B86</f>
        <v>-1.5</v>
      </c>
    </row>
    <row r="87" spans="1:52">
      <c r="A87" t="s">
        <v>137</v>
      </c>
      <c r="B87">
        <v>12</v>
      </c>
      <c r="C87" s="2">
        <v>5</v>
      </c>
      <c r="D87" s="2">
        <v>7</v>
      </c>
      <c r="E87" s="2">
        <f t="shared" si="3"/>
        <v>0.41666666666666669</v>
      </c>
      <c r="F87">
        <v>283</v>
      </c>
      <c r="G87">
        <v>23.6</v>
      </c>
      <c r="H87">
        <v>321</v>
      </c>
      <c r="I87">
        <v>26.8</v>
      </c>
      <c r="J87">
        <v>4405</v>
      </c>
      <c r="K87">
        <v>5.33</v>
      </c>
      <c r="L87">
        <v>30</v>
      </c>
      <c r="M87">
        <v>367.1</v>
      </c>
      <c r="N87">
        <v>4518</v>
      </c>
      <c r="O87">
        <v>5.94</v>
      </c>
      <c r="P87">
        <v>38</v>
      </c>
      <c r="Q87">
        <v>40</v>
      </c>
      <c r="R87">
        <v>376.5</v>
      </c>
      <c r="S87">
        <v>85</v>
      </c>
      <c r="T87">
        <v>720</v>
      </c>
      <c r="U87">
        <v>60</v>
      </c>
      <c r="V87">
        <v>6.94</v>
      </c>
      <c r="W87">
        <v>11.25</v>
      </c>
      <c r="X87">
        <v>239</v>
      </c>
      <c r="Y87">
        <v>8.3699999999999992</v>
      </c>
      <c r="Z87">
        <v>13.74</v>
      </c>
      <c r="AA87">
        <v>233.6</v>
      </c>
      <c r="AB87">
        <v>54</v>
      </c>
      <c r="AC87">
        <v>426</v>
      </c>
      <c r="AD87">
        <v>1715</v>
      </c>
      <c r="AE87">
        <v>4.03</v>
      </c>
      <c r="AF87">
        <v>18</v>
      </c>
      <c r="AG87">
        <v>142.9</v>
      </c>
      <c r="AH87">
        <v>96</v>
      </c>
      <c r="AI87">
        <v>414</v>
      </c>
      <c r="AJ87">
        <v>1537</v>
      </c>
      <c r="AK87">
        <v>3.71</v>
      </c>
      <c r="AL87">
        <v>128.1</v>
      </c>
      <c r="AM87">
        <v>40</v>
      </c>
      <c r="AN87">
        <v>13</v>
      </c>
      <c r="AO87">
        <v>33</v>
      </c>
      <c r="AP87">
        <v>17</v>
      </c>
      <c r="AQ87">
        <v>36</v>
      </c>
      <c r="AR87">
        <v>274</v>
      </c>
      <c r="AS87">
        <v>3</v>
      </c>
      <c r="AT87">
        <v>289</v>
      </c>
      <c r="AU87">
        <v>84</v>
      </c>
      <c r="AV87">
        <v>7</v>
      </c>
      <c r="AW87">
        <v>22</v>
      </c>
      <c r="AX87">
        <v>25</v>
      </c>
      <c r="AY87">
        <f t="shared" si="2"/>
        <v>-3</v>
      </c>
      <c r="AZ87">
        <f>AY87/B87</f>
        <v>-0.25</v>
      </c>
    </row>
    <row r="88" spans="1:52">
      <c r="A88" t="s">
        <v>138</v>
      </c>
      <c r="B88">
        <v>12</v>
      </c>
      <c r="C88" s="2">
        <v>6</v>
      </c>
      <c r="D88" s="2">
        <v>6</v>
      </c>
      <c r="E88" s="2">
        <f t="shared" si="3"/>
        <v>0.5</v>
      </c>
      <c r="F88">
        <v>343</v>
      </c>
      <c r="G88">
        <v>28.6</v>
      </c>
      <c r="H88">
        <v>270</v>
      </c>
      <c r="I88">
        <v>22.5</v>
      </c>
      <c r="J88">
        <v>4393</v>
      </c>
      <c r="K88">
        <v>5.84</v>
      </c>
      <c r="L88">
        <v>43</v>
      </c>
      <c r="M88">
        <v>366.1</v>
      </c>
      <c r="N88">
        <v>4308</v>
      </c>
      <c r="O88">
        <v>5.76</v>
      </c>
      <c r="P88">
        <v>34</v>
      </c>
      <c r="Q88">
        <v>34</v>
      </c>
      <c r="R88">
        <v>359</v>
      </c>
      <c r="S88">
        <v>58</v>
      </c>
      <c r="T88">
        <v>467</v>
      </c>
      <c r="U88">
        <v>38.92</v>
      </c>
      <c r="V88">
        <v>8.85</v>
      </c>
      <c r="W88">
        <v>21.9</v>
      </c>
      <c r="X88">
        <v>76.7</v>
      </c>
      <c r="Y88">
        <v>6.98</v>
      </c>
      <c r="Z88">
        <v>11.5</v>
      </c>
      <c r="AA88">
        <v>160</v>
      </c>
      <c r="AB88">
        <v>119</v>
      </c>
      <c r="AC88">
        <v>473</v>
      </c>
      <c r="AD88">
        <v>2388</v>
      </c>
      <c r="AE88">
        <v>5.05</v>
      </c>
      <c r="AF88">
        <v>19</v>
      </c>
      <c r="AG88">
        <v>199</v>
      </c>
      <c r="AH88">
        <v>2</v>
      </c>
      <c r="AI88">
        <v>648</v>
      </c>
      <c r="AJ88">
        <v>3473</v>
      </c>
      <c r="AK88">
        <v>5.36</v>
      </c>
      <c r="AL88">
        <v>289.39999999999998</v>
      </c>
      <c r="AM88">
        <v>34</v>
      </c>
      <c r="AN88">
        <v>11</v>
      </c>
      <c r="AO88">
        <v>46</v>
      </c>
      <c r="AP88">
        <v>8</v>
      </c>
      <c r="AQ88">
        <v>12</v>
      </c>
      <c r="AR88">
        <v>85</v>
      </c>
      <c r="AS88">
        <v>1</v>
      </c>
      <c r="AT88">
        <v>187</v>
      </c>
      <c r="AU88">
        <v>52</v>
      </c>
      <c r="AV88">
        <v>4.3</v>
      </c>
      <c r="AW88">
        <v>17</v>
      </c>
      <c r="AX88">
        <v>13</v>
      </c>
      <c r="AY88">
        <f t="shared" si="2"/>
        <v>4</v>
      </c>
      <c r="AZ88">
        <f>AY88/B88</f>
        <v>0.33333333333333331</v>
      </c>
    </row>
    <row r="89" spans="1:52">
      <c r="A89" t="s">
        <v>139</v>
      </c>
      <c r="B89">
        <v>13</v>
      </c>
      <c r="C89" s="2">
        <v>9</v>
      </c>
      <c r="D89" s="2">
        <v>4</v>
      </c>
      <c r="E89" s="2">
        <f t="shared" si="3"/>
        <v>0.69230769230769229</v>
      </c>
      <c r="F89">
        <v>387</v>
      </c>
      <c r="G89">
        <v>29.8</v>
      </c>
      <c r="H89">
        <v>370</v>
      </c>
      <c r="I89">
        <v>28.5</v>
      </c>
      <c r="J89">
        <v>4741</v>
      </c>
      <c r="K89">
        <v>5.3</v>
      </c>
      <c r="L89">
        <v>48</v>
      </c>
      <c r="M89">
        <v>364.7</v>
      </c>
      <c r="N89">
        <v>4901</v>
      </c>
      <c r="O89">
        <v>5.62</v>
      </c>
      <c r="P89">
        <v>46</v>
      </c>
      <c r="Q89">
        <v>47</v>
      </c>
      <c r="R89">
        <v>377</v>
      </c>
      <c r="S89">
        <v>103</v>
      </c>
      <c r="T89">
        <v>955</v>
      </c>
      <c r="U89">
        <v>73.459999999999994</v>
      </c>
      <c r="V89">
        <v>7.43</v>
      </c>
      <c r="W89">
        <v>11.93</v>
      </c>
      <c r="X89">
        <v>223.9</v>
      </c>
      <c r="Y89">
        <v>7.18</v>
      </c>
      <c r="Z89">
        <v>12.71</v>
      </c>
      <c r="AA89">
        <v>220.9</v>
      </c>
      <c r="AB89">
        <v>74</v>
      </c>
      <c r="AC89">
        <v>472</v>
      </c>
      <c r="AD89">
        <v>2029</v>
      </c>
      <c r="AE89">
        <v>4.3</v>
      </c>
      <c r="AF89">
        <v>23</v>
      </c>
      <c r="AG89">
        <v>156.1</v>
      </c>
      <c r="AH89">
        <v>83</v>
      </c>
      <c r="AI89">
        <v>503</v>
      </c>
      <c r="AJ89">
        <v>1830</v>
      </c>
      <c r="AK89">
        <v>3.64</v>
      </c>
      <c r="AL89">
        <v>140.80000000000001</v>
      </c>
      <c r="AM89">
        <v>47</v>
      </c>
      <c r="AN89">
        <v>16</v>
      </c>
      <c r="AO89">
        <v>49</v>
      </c>
      <c r="AP89">
        <v>14</v>
      </c>
      <c r="AQ89">
        <v>32</v>
      </c>
      <c r="AR89">
        <v>246</v>
      </c>
      <c r="AS89">
        <v>2.46</v>
      </c>
      <c r="AT89">
        <v>233</v>
      </c>
      <c r="AU89">
        <v>58</v>
      </c>
      <c r="AV89">
        <v>4.5</v>
      </c>
      <c r="AW89">
        <v>20</v>
      </c>
      <c r="AX89">
        <v>19</v>
      </c>
      <c r="AY89">
        <f t="shared" si="2"/>
        <v>1</v>
      </c>
      <c r="AZ89">
        <f>AY89/B89</f>
        <v>7.6923076923076927E-2</v>
      </c>
    </row>
    <row r="90" spans="1:52">
      <c r="A90" t="s">
        <v>140</v>
      </c>
      <c r="B90">
        <v>12</v>
      </c>
      <c r="C90" s="2">
        <v>4</v>
      </c>
      <c r="D90" s="2">
        <v>8</v>
      </c>
      <c r="E90" s="2">
        <f t="shared" si="3"/>
        <v>0.33333333333333331</v>
      </c>
      <c r="F90">
        <v>287</v>
      </c>
      <c r="G90">
        <v>23.9</v>
      </c>
      <c r="H90">
        <v>334</v>
      </c>
      <c r="I90">
        <v>27.8</v>
      </c>
      <c r="J90">
        <v>4375</v>
      </c>
      <c r="K90">
        <v>5.57</v>
      </c>
      <c r="L90">
        <v>33</v>
      </c>
      <c r="M90">
        <v>364.6</v>
      </c>
      <c r="N90">
        <v>5143</v>
      </c>
      <c r="O90">
        <v>5.82</v>
      </c>
      <c r="P90">
        <v>42</v>
      </c>
      <c r="Q90">
        <v>43</v>
      </c>
      <c r="R90">
        <v>428.6</v>
      </c>
      <c r="S90">
        <v>63</v>
      </c>
      <c r="T90">
        <v>535</v>
      </c>
      <c r="U90">
        <v>44.58</v>
      </c>
      <c r="V90">
        <v>6.9</v>
      </c>
      <c r="W90">
        <v>11.05</v>
      </c>
      <c r="X90">
        <v>268</v>
      </c>
      <c r="Y90">
        <v>7.34</v>
      </c>
      <c r="Z90">
        <v>11.18</v>
      </c>
      <c r="AA90">
        <v>279.5</v>
      </c>
      <c r="AB90">
        <v>64</v>
      </c>
      <c r="AC90">
        <v>426</v>
      </c>
      <c r="AD90">
        <v>1789</v>
      </c>
      <c r="AE90">
        <v>4.2</v>
      </c>
      <c r="AF90">
        <v>19</v>
      </c>
      <c r="AG90">
        <v>149.1</v>
      </c>
      <c r="AH90">
        <v>122</v>
      </c>
      <c r="AI90">
        <v>319</v>
      </c>
      <c r="AJ90">
        <v>1159</v>
      </c>
      <c r="AK90">
        <v>3.63</v>
      </c>
      <c r="AL90">
        <v>96.6</v>
      </c>
      <c r="AM90">
        <v>43</v>
      </c>
      <c r="AN90">
        <v>11</v>
      </c>
      <c r="AO90">
        <v>36</v>
      </c>
      <c r="AP90">
        <v>12</v>
      </c>
      <c r="AQ90">
        <v>31</v>
      </c>
      <c r="AR90">
        <v>251</v>
      </c>
      <c r="AS90">
        <v>2.58</v>
      </c>
      <c r="AT90">
        <v>201</v>
      </c>
      <c r="AU90">
        <v>53</v>
      </c>
      <c r="AV90">
        <v>4.4000000000000004</v>
      </c>
      <c r="AW90">
        <v>18</v>
      </c>
      <c r="AX90">
        <v>12</v>
      </c>
      <c r="AY90">
        <f t="shared" si="2"/>
        <v>6</v>
      </c>
      <c r="AZ90">
        <f>AY90/B90</f>
        <v>0.5</v>
      </c>
    </row>
    <row r="91" spans="1:52">
      <c r="A91" t="s">
        <v>141</v>
      </c>
      <c r="B91">
        <v>13</v>
      </c>
      <c r="C91" s="2">
        <v>6</v>
      </c>
      <c r="D91" s="2">
        <v>7</v>
      </c>
      <c r="E91" s="2">
        <f t="shared" si="3"/>
        <v>0.46153846153846156</v>
      </c>
      <c r="F91">
        <v>340</v>
      </c>
      <c r="G91">
        <v>26.2</v>
      </c>
      <c r="H91">
        <v>297</v>
      </c>
      <c r="I91">
        <v>22.8</v>
      </c>
      <c r="J91">
        <v>4738</v>
      </c>
      <c r="K91">
        <v>5.28</v>
      </c>
      <c r="L91">
        <v>37</v>
      </c>
      <c r="M91">
        <v>364.5</v>
      </c>
      <c r="N91">
        <v>4702</v>
      </c>
      <c r="O91">
        <v>5.3</v>
      </c>
      <c r="P91">
        <v>36</v>
      </c>
      <c r="Q91">
        <v>38</v>
      </c>
      <c r="R91">
        <v>361.7</v>
      </c>
      <c r="S91">
        <v>85</v>
      </c>
      <c r="T91">
        <v>724</v>
      </c>
      <c r="U91">
        <v>55.69</v>
      </c>
      <c r="V91">
        <v>6.55</v>
      </c>
      <c r="W91">
        <v>11.43</v>
      </c>
      <c r="X91">
        <v>222.5</v>
      </c>
      <c r="Y91">
        <v>6.75</v>
      </c>
      <c r="Z91">
        <v>11.73</v>
      </c>
      <c r="AA91">
        <v>220.1</v>
      </c>
      <c r="AB91">
        <v>51</v>
      </c>
      <c r="AC91">
        <v>464</v>
      </c>
      <c r="AD91">
        <v>1841</v>
      </c>
      <c r="AE91">
        <v>3.97</v>
      </c>
      <c r="AF91">
        <v>18</v>
      </c>
      <c r="AG91">
        <v>141.6</v>
      </c>
      <c r="AH91">
        <v>76</v>
      </c>
      <c r="AI91">
        <v>456</v>
      </c>
      <c r="AJ91">
        <v>1845</v>
      </c>
      <c r="AK91">
        <v>4.05</v>
      </c>
      <c r="AL91">
        <v>141.9</v>
      </c>
      <c r="AM91">
        <v>38</v>
      </c>
      <c r="AN91">
        <v>12</v>
      </c>
      <c r="AO91">
        <v>40</v>
      </c>
      <c r="AP91">
        <v>20</v>
      </c>
      <c r="AQ91">
        <v>24</v>
      </c>
      <c r="AR91">
        <v>122</v>
      </c>
      <c r="AS91">
        <v>1.85</v>
      </c>
      <c r="AT91">
        <v>249</v>
      </c>
      <c r="AU91">
        <v>66</v>
      </c>
      <c r="AV91">
        <v>5.0999999999999996</v>
      </c>
      <c r="AW91">
        <v>23</v>
      </c>
      <c r="AX91">
        <v>19</v>
      </c>
      <c r="AY91">
        <f t="shared" si="2"/>
        <v>4</v>
      </c>
      <c r="AZ91">
        <f>AY91/B91</f>
        <v>0.30769230769230771</v>
      </c>
    </row>
    <row r="92" spans="1:52">
      <c r="A92" t="s">
        <v>142</v>
      </c>
      <c r="B92">
        <v>13</v>
      </c>
      <c r="C92" s="2">
        <v>7</v>
      </c>
      <c r="D92" s="2">
        <v>6</v>
      </c>
      <c r="E92" s="2">
        <f t="shared" si="3"/>
        <v>0.53846153846153844</v>
      </c>
      <c r="F92">
        <v>342</v>
      </c>
      <c r="G92">
        <v>26.3</v>
      </c>
      <c r="H92">
        <v>263</v>
      </c>
      <c r="I92">
        <v>20.2</v>
      </c>
      <c r="J92">
        <v>4727</v>
      </c>
      <c r="K92">
        <v>5.72</v>
      </c>
      <c r="L92">
        <v>42</v>
      </c>
      <c r="M92">
        <v>363.6</v>
      </c>
      <c r="N92">
        <v>3946</v>
      </c>
      <c r="O92">
        <v>4.82</v>
      </c>
      <c r="P92">
        <v>32</v>
      </c>
      <c r="Q92">
        <v>33</v>
      </c>
      <c r="R92">
        <v>303.5</v>
      </c>
      <c r="S92">
        <v>81</v>
      </c>
      <c r="T92">
        <v>751</v>
      </c>
      <c r="U92">
        <v>57.77</v>
      </c>
      <c r="V92">
        <v>7.33</v>
      </c>
      <c r="W92">
        <v>12.71</v>
      </c>
      <c r="X92">
        <v>183.8</v>
      </c>
      <c r="Y92">
        <v>7.06</v>
      </c>
      <c r="Z92">
        <v>11.96</v>
      </c>
      <c r="AA92">
        <v>204.3</v>
      </c>
      <c r="AB92">
        <v>9</v>
      </c>
      <c r="AC92">
        <v>443</v>
      </c>
      <c r="AD92">
        <v>1290</v>
      </c>
      <c r="AE92">
        <v>2.91</v>
      </c>
      <c r="AF92">
        <v>14</v>
      </c>
      <c r="AG92">
        <v>99.2</v>
      </c>
      <c r="AH92">
        <v>46</v>
      </c>
      <c r="AI92">
        <v>501</v>
      </c>
      <c r="AJ92">
        <v>2337</v>
      </c>
      <c r="AK92">
        <v>4.66</v>
      </c>
      <c r="AL92">
        <v>179.8</v>
      </c>
      <c r="AM92">
        <v>33</v>
      </c>
      <c r="AN92">
        <v>11</v>
      </c>
      <c r="AO92">
        <v>44</v>
      </c>
      <c r="AP92">
        <v>12</v>
      </c>
      <c r="AQ92">
        <v>27</v>
      </c>
      <c r="AR92">
        <v>170</v>
      </c>
      <c r="AS92">
        <v>2.08</v>
      </c>
      <c r="AT92">
        <v>331</v>
      </c>
      <c r="AU92">
        <v>85</v>
      </c>
      <c r="AV92">
        <v>6.5</v>
      </c>
      <c r="AW92">
        <v>20</v>
      </c>
      <c r="AX92">
        <v>18</v>
      </c>
      <c r="AY92">
        <f t="shared" si="2"/>
        <v>2</v>
      </c>
      <c r="AZ92">
        <f>AY92/B92</f>
        <v>0.15384615384615385</v>
      </c>
    </row>
    <row r="93" spans="1:52">
      <c r="A93" t="s">
        <v>143</v>
      </c>
      <c r="B93">
        <v>12</v>
      </c>
      <c r="C93" s="2">
        <v>3</v>
      </c>
      <c r="D93" s="2">
        <v>9</v>
      </c>
      <c r="E93" s="2">
        <f t="shared" si="3"/>
        <v>0.25</v>
      </c>
      <c r="F93">
        <v>256</v>
      </c>
      <c r="G93">
        <v>21.3</v>
      </c>
      <c r="H93">
        <v>386</v>
      </c>
      <c r="I93">
        <v>32.200000000000003</v>
      </c>
      <c r="J93">
        <v>4339</v>
      </c>
      <c r="K93">
        <v>5.27</v>
      </c>
      <c r="L93">
        <v>29</v>
      </c>
      <c r="M93">
        <v>361.6</v>
      </c>
      <c r="N93">
        <v>5209</v>
      </c>
      <c r="O93">
        <v>6.56</v>
      </c>
      <c r="P93">
        <v>47</v>
      </c>
      <c r="Q93">
        <v>50</v>
      </c>
      <c r="R93">
        <v>434.1</v>
      </c>
      <c r="S93">
        <v>55</v>
      </c>
      <c r="T93">
        <v>495</v>
      </c>
      <c r="U93">
        <v>41.25</v>
      </c>
      <c r="V93">
        <v>6.81</v>
      </c>
      <c r="W93">
        <v>11.09</v>
      </c>
      <c r="X93">
        <v>254.2</v>
      </c>
      <c r="Y93">
        <v>7.17</v>
      </c>
      <c r="Z93">
        <v>12.39</v>
      </c>
      <c r="AA93">
        <v>209.7</v>
      </c>
      <c r="AB93">
        <v>127</v>
      </c>
      <c r="AC93">
        <v>443</v>
      </c>
      <c r="AD93">
        <v>2693</v>
      </c>
      <c r="AE93">
        <v>6.08</v>
      </c>
      <c r="AF93">
        <v>25</v>
      </c>
      <c r="AG93">
        <v>224.4</v>
      </c>
      <c r="AH93">
        <v>117</v>
      </c>
      <c r="AI93">
        <v>376</v>
      </c>
      <c r="AJ93">
        <v>1288</v>
      </c>
      <c r="AK93">
        <v>3.43</v>
      </c>
      <c r="AL93">
        <v>107.3</v>
      </c>
      <c r="AM93">
        <v>50</v>
      </c>
      <c r="AN93">
        <v>13</v>
      </c>
      <c r="AO93">
        <v>29</v>
      </c>
      <c r="AP93">
        <v>18</v>
      </c>
      <c r="AQ93">
        <v>41</v>
      </c>
      <c r="AR93">
        <v>209</v>
      </c>
      <c r="AS93">
        <v>3.42</v>
      </c>
      <c r="AT93">
        <v>266</v>
      </c>
      <c r="AU93">
        <v>67</v>
      </c>
      <c r="AV93">
        <v>5.6</v>
      </c>
      <c r="AW93">
        <v>11</v>
      </c>
      <c r="AX93">
        <v>21</v>
      </c>
      <c r="AY93">
        <f t="shared" si="2"/>
        <v>-10</v>
      </c>
      <c r="AZ93">
        <f>AY93/B93</f>
        <v>-0.83333333333333337</v>
      </c>
    </row>
    <row r="94" spans="1:52">
      <c r="A94" t="s">
        <v>144</v>
      </c>
      <c r="B94">
        <v>12</v>
      </c>
      <c r="C94" s="2">
        <v>5</v>
      </c>
      <c r="D94" s="2">
        <v>7</v>
      </c>
      <c r="E94" s="2">
        <f t="shared" si="3"/>
        <v>0.41666666666666669</v>
      </c>
      <c r="F94">
        <v>273</v>
      </c>
      <c r="G94">
        <v>22.8</v>
      </c>
      <c r="H94">
        <v>248</v>
      </c>
      <c r="I94">
        <v>20.7</v>
      </c>
      <c r="J94">
        <v>4331</v>
      </c>
      <c r="K94">
        <v>5.72</v>
      </c>
      <c r="L94">
        <v>30</v>
      </c>
      <c r="M94">
        <v>360.9</v>
      </c>
      <c r="N94">
        <v>4380</v>
      </c>
      <c r="O94">
        <v>5.17</v>
      </c>
      <c r="P94">
        <v>28</v>
      </c>
      <c r="Q94">
        <v>31</v>
      </c>
      <c r="R94">
        <v>365</v>
      </c>
      <c r="S94">
        <v>76</v>
      </c>
      <c r="T94">
        <v>589</v>
      </c>
      <c r="U94">
        <v>49.08</v>
      </c>
      <c r="V94">
        <v>6.73</v>
      </c>
      <c r="W94">
        <v>11.97</v>
      </c>
      <c r="X94">
        <v>219.4</v>
      </c>
      <c r="Y94">
        <v>5.73</v>
      </c>
      <c r="Z94">
        <v>10.18</v>
      </c>
      <c r="AA94">
        <v>156.19999999999999</v>
      </c>
      <c r="AB94">
        <v>123</v>
      </c>
      <c r="AC94">
        <v>520</v>
      </c>
      <c r="AD94">
        <v>2506</v>
      </c>
      <c r="AE94">
        <v>4.82</v>
      </c>
      <c r="AF94">
        <v>13</v>
      </c>
      <c r="AG94">
        <v>208.8</v>
      </c>
      <c r="AH94">
        <v>80</v>
      </c>
      <c r="AI94">
        <v>366</v>
      </c>
      <c r="AJ94">
        <v>1698</v>
      </c>
      <c r="AK94">
        <v>4.6399999999999997</v>
      </c>
      <c r="AL94">
        <v>141.5</v>
      </c>
      <c r="AM94">
        <v>30</v>
      </c>
      <c r="AN94">
        <v>13</v>
      </c>
      <c r="AO94">
        <v>33</v>
      </c>
      <c r="AP94">
        <v>14</v>
      </c>
      <c r="AQ94">
        <v>25</v>
      </c>
      <c r="AR94">
        <v>151</v>
      </c>
      <c r="AS94">
        <v>2.08</v>
      </c>
      <c r="AT94">
        <v>241</v>
      </c>
      <c r="AU94">
        <v>71</v>
      </c>
      <c r="AV94">
        <v>5.9</v>
      </c>
      <c r="AW94">
        <v>16</v>
      </c>
      <c r="AX94">
        <v>17</v>
      </c>
      <c r="AY94">
        <f t="shared" si="2"/>
        <v>-1</v>
      </c>
      <c r="AZ94">
        <f>AY94/B94</f>
        <v>-8.3333333333333329E-2</v>
      </c>
    </row>
    <row r="95" spans="1:52">
      <c r="A95" t="s">
        <v>145</v>
      </c>
      <c r="B95">
        <v>13</v>
      </c>
      <c r="C95" s="2">
        <v>7</v>
      </c>
      <c r="D95" s="2">
        <v>6</v>
      </c>
      <c r="E95" s="2">
        <f t="shared" si="3"/>
        <v>0.53846153846153844</v>
      </c>
      <c r="F95">
        <v>339</v>
      </c>
      <c r="G95">
        <v>26.1</v>
      </c>
      <c r="H95">
        <v>298</v>
      </c>
      <c r="I95">
        <v>22.9</v>
      </c>
      <c r="J95">
        <v>4689</v>
      </c>
      <c r="K95">
        <v>5.41</v>
      </c>
      <c r="L95">
        <v>41</v>
      </c>
      <c r="M95">
        <v>360.7</v>
      </c>
      <c r="N95">
        <v>5230</v>
      </c>
      <c r="O95">
        <v>5.84</v>
      </c>
      <c r="P95">
        <v>36</v>
      </c>
      <c r="Q95">
        <v>38</v>
      </c>
      <c r="R95">
        <v>402.3</v>
      </c>
      <c r="S95">
        <v>70</v>
      </c>
      <c r="T95">
        <v>589</v>
      </c>
      <c r="U95">
        <v>45.31</v>
      </c>
      <c r="V95">
        <v>6.6</v>
      </c>
      <c r="W95">
        <v>10.220000000000001</v>
      </c>
      <c r="X95">
        <v>253.8</v>
      </c>
      <c r="Y95">
        <v>7.57</v>
      </c>
      <c r="Z95">
        <v>12.17</v>
      </c>
      <c r="AA95">
        <v>267.7</v>
      </c>
      <c r="AB95">
        <v>42</v>
      </c>
      <c r="AC95">
        <v>435</v>
      </c>
      <c r="AD95">
        <v>1750</v>
      </c>
      <c r="AE95">
        <v>4.0199999999999996</v>
      </c>
      <c r="AF95">
        <v>17</v>
      </c>
      <c r="AG95">
        <v>134.6</v>
      </c>
      <c r="AH95">
        <v>118</v>
      </c>
      <c r="AI95">
        <v>367</v>
      </c>
      <c r="AJ95">
        <v>1389</v>
      </c>
      <c r="AK95">
        <v>3.78</v>
      </c>
      <c r="AL95">
        <v>106.8</v>
      </c>
      <c r="AM95">
        <v>38</v>
      </c>
      <c r="AN95">
        <v>12</v>
      </c>
      <c r="AO95">
        <v>44</v>
      </c>
      <c r="AP95">
        <v>11</v>
      </c>
      <c r="AQ95">
        <v>46</v>
      </c>
      <c r="AR95">
        <v>303</v>
      </c>
      <c r="AS95">
        <v>3.54</v>
      </c>
      <c r="AT95">
        <v>352</v>
      </c>
      <c r="AU95">
        <v>80</v>
      </c>
      <c r="AV95">
        <v>6.2</v>
      </c>
      <c r="AW95">
        <v>21</v>
      </c>
      <c r="AX95">
        <v>18</v>
      </c>
      <c r="AY95">
        <f t="shared" si="2"/>
        <v>3</v>
      </c>
      <c r="AZ95">
        <f>AY95/B95</f>
        <v>0.23076923076923078</v>
      </c>
    </row>
    <row r="96" spans="1:52">
      <c r="A96" t="s">
        <v>146</v>
      </c>
      <c r="B96">
        <v>14</v>
      </c>
      <c r="C96" s="2">
        <v>12</v>
      </c>
      <c r="D96" s="2">
        <v>2</v>
      </c>
      <c r="E96" s="2">
        <f t="shared" si="3"/>
        <v>0.8571428571428571</v>
      </c>
      <c r="F96">
        <v>358</v>
      </c>
      <c r="G96">
        <v>25.6</v>
      </c>
      <c r="H96">
        <v>240</v>
      </c>
      <c r="I96">
        <v>17.100000000000001</v>
      </c>
      <c r="J96">
        <v>5038</v>
      </c>
      <c r="K96">
        <v>5.62</v>
      </c>
      <c r="L96">
        <v>41</v>
      </c>
      <c r="M96">
        <v>359.9</v>
      </c>
      <c r="N96">
        <v>4574</v>
      </c>
      <c r="O96">
        <v>4.6900000000000004</v>
      </c>
      <c r="P96">
        <v>29</v>
      </c>
      <c r="Q96">
        <v>29</v>
      </c>
      <c r="R96">
        <v>326.7</v>
      </c>
      <c r="S96">
        <v>76</v>
      </c>
      <c r="T96">
        <v>699</v>
      </c>
      <c r="U96">
        <v>49.93</v>
      </c>
      <c r="V96">
        <v>8.48</v>
      </c>
      <c r="W96">
        <v>13.55</v>
      </c>
      <c r="X96">
        <v>242.9</v>
      </c>
      <c r="Y96">
        <v>5.98</v>
      </c>
      <c r="Z96">
        <v>9.99</v>
      </c>
      <c r="AA96">
        <v>206.9</v>
      </c>
      <c r="AB96">
        <v>24</v>
      </c>
      <c r="AC96">
        <v>492</v>
      </c>
      <c r="AD96">
        <v>1678</v>
      </c>
      <c r="AE96">
        <v>3.41</v>
      </c>
      <c r="AF96">
        <v>15</v>
      </c>
      <c r="AG96">
        <v>119.9</v>
      </c>
      <c r="AH96">
        <v>107</v>
      </c>
      <c r="AI96">
        <v>496</v>
      </c>
      <c r="AJ96">
        <v>1638</v>
      </c>
      <c r="AK96">
        <v>3.3</v>
      </c>
      <c r="AL96">
        <v>117</v>
      </c>
      <c r="AM96">
        <v>29</v>
      </c>
      <c r="AN96">
        <v>13</v>
      </c>
      <c r="AO96">
        <v>44</v>
      </c>
      <c r="AP96">
        <v>17</v>
      </c>
      <c r="AQ96">
        <v>46</v>
      </c>
      <c r="AR96">
        <v>277</v>
      </c>
      <c r="AS96">
        <v>3.29</v>
      </c>
      <c r="AT96">
        <v>386</v>
      </c>
      <c r="AU96">
        <v>79</v>
      </c>
      <c r="AV96">
        <v>5.6</v>
      </c>
      <c r="AW96">
        <v>27</v>
      </c>
      <c r="AX96">
        <v>21</v>
      </c>
      <c r="AY96">
        <f t="shared" si="2"/>
        <v>6</v>
      </c>
      <c r="AZ96">
        <f>AY96/B96</f>
        <v>0.42857142857142855</v>
      </c>
    </row>
    <row r="97" spans="1:52">
      <c r="A97" t="s">
        <v>147</v>
      </c>
      <c r="B97">
        <v>13</v>
      </c>
      <c r="C97" s="2">
        <v>6</v>
      </c>
      <c r="D97" s="2">
        <v>7</v>
      </c>
      <c r="E97" s="2">
        <f t="shared" si="3"/>
        <v>0.46153846153846156</v>
      </c>
      <c r="F97">
        <v>289</v>
      </c>
      <c r="G97">
        <v>22.2</v>
      </c>
      <c r="H97">
        <v>405</v>
      </c>
      <c r="I97">
        <v>31.2</v>
      </c>
      <c r="J97">
        <v>4606</v>
      </c>
      <c r="K97">
        <v>4.8600000000000003</v>
      </c>
      <c r="L97">
        <v>32</v>
      </c>
      <c r="M97">
        <v>354.3</v>
      </c>
      <c r="N97">
        <v>5189</v>
      </c>
      <c r="O97">
        <v>5.75</v>
      </c>
      <c r="P97">
        <v>46</v>
      </c>
      <c r="Q97">
        <v>49</v>
      </c>
      <c r="R97">
        <v>399.2</v>
      </c>
      <c r="S97">
        <v>111</v>
      </c>
      <c r="T97">
        <v>1007</v>
      </c>
      <c r="U97">
        <v>77.459999999999994</v>
      </c>
      <c r="V97">
        <v>6.37</v>
      </c>
      <c r="W97">
        <v>11.03</v>
      </c>
      <c r="X97">
        <v>195.2</v>
      </c>
      <c r="Y97">
        <v>7.16</v>
      </c>
      <c r="Z97">
        <v>13.06</v>
      </c>
      <c r="AA97">
        <v>205</v>
      </c>
      <c r="AB97">
        <v>113</v>
      </c>
      <c r="AC97">
        <v>530</v>
      </c>
      <c r="AD97">
        <v>2524</v>
      </c>
      <c r="AE97">
        <v>4.76</v>
      </c>
      <c r="AF97">
        <v>19</v>
      </c>
      <c r="AG97">
        <v>194.2</v>
      </c>
      <c r="AH97">
        <v>62</v>
      </c>
      <c r="AI97">
        <v>550</v>
      </c>
      <c r="AJ97">
        <v>2069</v>
      </c>
      <c r="AK97">
        <v>3.76</v>
      </c>
      <c r="AL97">
        <v>159.19999999999999</v>
      </c>
      <c r="AM97">
        <v>49</v>
      </c>
      <c r="AN97">
        <v>20</v>
      </c>
      <c r="AO97">
        <v>36</v>
      </c>
      <c r="AP97">
        <v>12</v>
      </c>
      <c r="AQ97">
        <v>30</v>
      </c>
      <c r="AR97">
        <v>156</v>
      </c>
      <c r="AS97">
        <v>2.31</v>
      </c>
      <c r="AT97">
        <v>310</v>
      </c>
      <c r="AU97">
        <v>94</v>
      </c>
      <c r="AV97">
        <v>7.2</v>
      </c>
      <c r="AW97">
        <v>18</v>
      </c>
      <c r="AX97">
        <v>27</v>
      </c>
      <c r="AY97">
        <f t="shared" si="2"/>
        <v>-9</v>
      </c>
      <c r="AZ97">
        <f>AY97/B97</f>
        <v>-0.69230769230769229</v>
      </c>
    </row>
    <row r="98" spans="1:52">
      <c r="A98" t="s">
        <v>148</v>
      </c>
      <c r="B98">
        <v>12</v>
      </c>
      <c r="C98" s="2">
        <v>5</v>
      </c>
      <c r="D98" s="2">
        <v>7</v>
      </c>
      <c r="E98" s="2">
        <f t="shared" si="3"/>
        <v>0.41666666666666669</v>
      </c>
      <c r="F98">
        <v>293</v>
      </c>
      <c r="G98">
        <v>24.4</v>
      </c>
      <c r="H98">
        <v>329</v>
      </c>
      <c r="I98">
        <v>27.4</v>
      </c>
      <c r="J98">
        <v>4236</v>
      </c>
      <c r="K98">
        <v>5.48</v>
      </c>
      <c r="L98">
        <v>39</v>
      </c>
      <c r="M98">
        <v>353</v>
      </c>
      <c r="N98">
        <v>4998</v>
      </c>
      <c r="O98">
        <v>5.81</v>
      </c>
      <c r="P98">
        <v>40</v>
      </c>
      <c r="Q98">
        <v>41</v>
      </c>
      <c r="R98">
        <v>416.5</v>
      </c>
      <c r="S98">
        <v>70</v>
      </c>
      <c r="T98">
        <v>659</v>
      </c>
      <c r="U98">
        <v>54.92</v>
      </c>
      <c r="V98">
        <v>6.99</v>
      </c>
      <c r="W98">
        <v>11.16</v>
      </c>
      <c r="X98">
        <v>240</v>
      </c>
      <c r="Y98">
        <v>7.93</v>
      </c>
      <c r="Z98">
        <v>11.95</v>
      </c>
      <c r="AA98">
        <v>237.9</v>
      </c>
      <c r="AB98">
        <v>102</v>
      </c>
      <c r="AC98">
        <v>500</v>
      </c>
      <c r="AD98">
        <v>2143</v>
      </c>
      <c r="AE98">
        <v>4.29</v>
      </c>
      <c r="AF98">
        <v>14</v>
      </c>
      <c r="AG98">
        <v>178.6</v>
      </c>
      <c r="AH98">
        <v>111</v>
      </c>
      <c r="AI98">
        <v>361</v>
      </c>
      <c r="AJ98">
        <v>1356</v>
      </c>
      <c r="AK98">
        <v>3.76</v>
      </c>
      <c r="AL98">
        <v>113</v>
      </c>
      <c r="AM98">
        <v>41</v>
      </c>
      <c r="AN98">
        <v>13</v>
      </c>
      <c r="AO98">
        <v>40</v>
      </c>
      <c r="AP98">
        <v>6</v>
      </c>
      <c r="AQ98">
        <v>18</v>
      </c>
      <c r="AR98">
        <v>139</v>
      </c>
      <c r="AS98">
        <v>1.5</v>
      </c>
      <c r="AT98">
        <v>320</v>
      </c>
      <c r="AU98">
        <v>76</v>
      </c>
      <c r="AV98">
        <v>6.3</v>
      </c>
      <c r="AW98">
        <v>12</v>
      </c>
      <c r="AX98">
        <v>16</v>
      </c>
      <c r="AY98">
        <f t="shared" si="2"/>
        <v>-4</v>
      </c>
      <c r="AZ98">
        <f>AY98/B98</f>
        <v>-0.33333333333333331</v>
      </c>
    </row>
    <row r="99" spans="1:52">
      <c r="A99" t="s">
        <v>149</v>
      </c>
      <c r="B99">
        <v>12</v>
      </c>
      <c r="C99" s="2">
        <v>5</v>
      </c>
      <c r="D99" s="2">
        <v>7</v>
      </c>
      <c r="E99" s="2">
        <f t="shared" si="3"/>
        <v>0.41666666666666669</v>
      </c>
      <c r="F99">
        <v>316</v>
      </c>
      <c r="G99">
        <v>26.3</v>
      </c>
      <c r="H99">
        <v>342</v>
      </c>
      <c r="I99">
        <v>28.5</v>
      </c>
      <c r="J99">
        <v>4225</v>
      </c>
      <c r="K99">
        <v>5.54</v>
      </c>
      <c r="L99">
        <v>33</v>
      </c>
      <c r="M99">
        <v>352.1</v>
      </c>
      <c r="N99">
        <v>4599</v>
      </c>
      <c r="O99">
        <v>5.48</v>
      </c>
      <c r="P99">
        <v>40</v>
      </c>
      <c r="Q99">
        <v>41</v>
      </c>
      <c r="R99">
        <v>383.2</v>
      </c>
      <c r="S99">
        <v>69</v>
      </c>
      <c r="T99">
        <v>685</v>
      </c>
      <c r="U99">
        <v>57.08</v>
      </c>
      <c r="V99">
        <v>7.15</v>
      </c>
      <c r="W99">
        <v>11.37</v>
      </c>
      <c r="X99">
        <v>215</v>
      </c>
      <c r="Y99">
        <v>7.57</v>
      </c>
      <c r="Z99">
        <v>12.15</v>
      </c>
      <c r="AA99">
        <v>225.8</v>
      </c>
      <c r="AB99">
        <v>77</v>
      </c>
      <c r="AC99">
        <v>481</v>
      </c>
      <c r="AD99">
        <v>1890</v>
      </c>
      <c r="AE99">
        <v>3.93</v>
      </c>
      <c r="AF99">
        <v>19</v>
      </c>
      <c r="AG99">
        <v>157.5</v>
      </c>
      <c r="AH99">
        <v>87</v>
      </c>
      <c r="AI99">
        <v>402</v>
      </c>
      <c r="AJ99">
        <v>1645</v>
      </c>
      <c r="AK99">
        <v>4.09</v>
      </c>
      <c r="AL99">
        <v>137.1</v>
      </c>
      <c r="AM99">
        <v>41</v>
      </c>
      <c r="AN99">
        <v>18</v>
      </c>
      <c r="AO99">
        <v>37</v>
      </c>
      <c r="AP99">
        <v>18</v>
      </c>
      <c r="AQ99">
        <v>37</v>
      </c>
      <c r="AR99">
        <v>216</v>
      </c>
      <c r="AS99">
        <v>3.08</v>
      </c>
      <c r="AT99">
        <v>248</v>
      </c>
      <c r="AU99">
        <v>62</v>
      </c>
      <c r="AV99">
        <v>5.2</v>
      </c>
      <c r="AW99">
        <v>21</v>
      </c>
      <c r="AX99">
        <v>15</v>
      </c>
      <c r="AY99">
        <f t="shared" si="2"/>
        <v>6</v>
      </c>
      <c r="AZ99">
        <f>AY99/B99</f>
        <v>0.5</v>
      </c>
    </row>
    <row r="100" spans="1:52">
      <c r="A100" t="s">
        <v>150</v>
      </c>
      <c r="B100">
        <v>12</v>
      </c>
      <c r="C100" s="2">
        <v>3</v>
      </c>
      <c r="D100" s="2">
        <v>9</v>
      </c>
      <c r="E100" s="2">
        <f t="shared" si="3"/>
        <v>0.25</v>
      </c>
      <c r="F100">
        <v>263</v>
      </c>
      <c r="G100">
        <v>21.9</v>
      </c>
      <c r="H100">
        <v>351</v>
      </c>
      <c r="I100">
        <v>29.2</v>
      </c>
      <c r="J100">
        <v>4206</v>
      </c>
      <c r="K100">
        <v>5.24</v>
      </c>
      <c r="L100">
        <v>29</v>
      </c>
      <c r="M100">
        <v>350.5</v>
      </c>
      <c r="N100">
        <v>4694</v>
      </c>
      <c r="O100">
        <v>5.64</v>
      </c>
      <c r="P100">
        <v>42</v>
      </c>
      <c r="Q100">
        <v>44</v>
      </c>
      <c r="R100">
        <v>391.2</v>
      </c>
      <c r="S100">
        <v>55</v>
      </c>
      <c r="T100">
        <v>444</v>
      </c>
      <c r="U100">
        <v>37</v>
      </c>
      <c r="V100">
        <v>6.65</v>
      </c>
      <c r="W100">
        <v>11.17</v>
      </c>
      <c r="X100">
        <v>268.10000000000002</v>
      </c>
      <c r="Y100">
        <v>7.31</v>
      </c>
      <c r="Z100">
        <v>11.4</v>
      </c>
      <c r="AA100">
        <v>198.6</v>
      </c>
      <c r="AB100">
        <v>112</v>
      </c>
      <c r="AC100">
        <v>506</v>
      </c>
      <c r="AD100">
        <v>2311</v>
      </c>
      <c r="AE100">
        <v>4.57</v>
      </c>
      <c r="AF100">
        <v>21</v>
      </c>
      <c r="AG100">
        <v>192.6</v>
      </c>
      <c r="AH100">
        <v>129</v>
      </c>
      <c r="AI100">
        <v>318</v>
      </c>
      <c r="AJ100">
        <v>989</v>
      </c>
      <c r="AK100">
        <v>3.11</v>
      </c>
      <c r="AL100">
        <v>82.4</v>
      </c>
      <c r="AM100">
        <v>44</v>
      </c>
      <c r="AN100">
        <v>14</v>
      </c>
      <c r="AO100">
        <v>32</v>
      </c>
      <c r="AP100">
        <v>13</v>
      </c>
      <c r="AQ100">
        <v>10</v>
      </c>
      <c r="AR100">
        <v>58</v>
      </c>
      <c r="AS100">
        <v>0.83</v>
      </c>
      <c r="AT100">
        <v>341</v>
      </c>
      <c r="AU100">
        <v>88</v>
      </c>
      <c r="AV100">
        <v>7.3</v>
      </c>
      <c r="AW100">
        <v>12</v>
      </c>
      <c r="AX100">
        <v>23</v>
      </c>
      <c r="AY100">
        <f t="shared" si="2"/>
        <v>-11</v>
      </c>
      <c r="AZ100">
        <f>AY100/B100</f>
        <v>-0.91666666666666663</v>
      </c>
    </row>
    <row r="101" spans="1:52">
      <c r="A101" t="s">
        <v>151</v>
      </c>
      <c r="B101">
        <v>13</v>
      </c>
      <c r="C101" s="2">
        <v>7</v>
      </c>
      <c r="D101" s="2">
        <v>6</v>
      </c>
      <c r="E101" s="2">
        <f t="shared" si="3"/>
        <v>0.53846153846153844</v>
      </c>
      <c r="F101">
        <v>329</v>
      </c>
      <c r="G101">
        <v>25.3</v>
      </c>
      <c r="H101">
        <v>306</v>
      </c>
      <c r="I101">
        <v>23.5</v>
      </c>
      <c r="J101">
        <v>4541</v>
      </c>
      <c r="K101">
        <v>5.5</v>
      </c>
      <c r="L101">
        <v>35</v>
      </c>
      <c r="M101">
        <v>349.3</v>
      </c>
      <c r="N101">
        <v>4838</v>
      </c>
      <c r="O101">
        <v>5.4</v>
      </c>
      <c r="P101">
        <v>36</v>
      </c>
      <c r="Q101">
        <v>36</v>
      </c>
      <c r="R101">
        <v>372.2</v>
      </c>
      <c r="S101">
        <v>86</v>
      </c>
      <c r="T101">
        <v>759</v>
      </c>
      <c r="U101">
        <v>58.38</v>
      </c>
      <c r="V101">
        <v>7.78</v>
      </c>
      <c r="W101">
        <v>14.13</v>
      </c>
      <c r="X101">
        <v>207.5</v>
      </c>
      <c r="Y101">
        <v>7.42</v>
      </c>
      <c r="Z101">
        <v>12.47</v>
      </c>
      <c r="AA101">
        <v>234</v>
      </c>
      <c r="AB101">
        <v>47</v>
      </c>
      <c r="AC101">
        <v>486</v>
      </c>
      <c r="AD101">
        <v>1796</v>
      </c>
      <c r="AE101">
        <v>3.7</v>
      </c>
      <c r="AF101">
        <v>15</v>
      </c>
      <c r="AG101">
        <v>138.19999999999999</v>
      </c>
      <c r="AH101">
        <v>79</v>
      </c>
      <c r="AI101">
        <v>478</v>
      </c>
      <c r="AJ101">
        <v>1843</v>
      </c>
      <c r="AK101">
        <v>3.86</v>
      </c>
      <c r="AL101">
        <v>141.80000000000001</v>
      </c>
      <c r="AM101">
        <v>36</v>
      </c>
      <c r="AN101">
        <v>17</v>
      </c>
      <c r="AO101">
        <v>39</v>
      </c>
      <c r="AP101">
        <v>18</v>
      </c>
      <c r="AQ101">
        <v>34</v>
      </c>
      <c r="AR101">
        <v>207</v>
      </c>
      <c r="AS101">
        <v>2.62</v>
      </c>
      <c r="AT101">
        <v>407</v>
      </c>
      <c r="AU101">
        <v>108</v>
      </c>
      <c r="AV101">
        <v>8.3000000000000007</v>
      </c>
      <c r="AW101">
        <v>22</v>
      </c>
      <c r="AX101">
        <v>25</v>
      </c>
      <c r="AY101">
        <f t="shared" si="2"/>
        <v>-3</v>
      </c>
      <c r="AZ101">
        <f>AY101/B101</f>
        <v>-0.23076923076923078</v>
      </c>
    </row>
    <row r="102" spans="1:52">
      <c r="A102" t="s">
        <v>152</v>
      </c>
      <c r="B102">
        <v>12</v>
      </c>
      <c r="C102" s="2">
        <v>5</v>
      </c>
      <c r="D102" s="2">
        <v>7</v>
      </c>
      <c r="E102" s="2">
        <f t="shared" si="3"/>
        <v>0.41666666666666669</v>
      </c>
      <c r="F102">
        <v>295</v>
      </c>
      <c r="G102">
        <v>24.6</v>
      </c>
      <c r="H102">
        <v>432</v>
      </c>
      <c r="I102">
        <v>36</v>
      </c>
      <c r="J102">
        <v>4167</v>
      </c>
      <c r="K102">
        <v>5.27</v>
      </c>
      <c r="L102">
        <v>35</v>
      </c>
      <c r="M102">
        <v>347.2</v>
      </c>
      <c r="N102">
        <v>5536</v>
      </c>
      <c r="O102">
        <v>6.95</v>
      </c>
      <c r="P102">
        <v>54</v>
      </c>
      <c r="Q102">
        <v>56</v>
      </c>
      <c r="R102">
        <v>461.3</v>
      </c>
      <c r="S102">
        <v>63</v>
      </c>
      <c r="T102">
        <v>553</v>
      </c>
      <c r="U102">
        <v>46.08</v>
      </c>
      <c r="V102">
        <v>6.5</v>
      </c>
      <c r="W102">
        <v>11.24</v>
      </c>
      <c r="X102">
        <v>187.3</v>
      </c>
      <c r="Y102">
        <v>8.74</v>
      </c>
      <c r="Z102">
        <v>13.56</v>
      </c>
      <c r="AA102">
        <v>290.5</v>
      </c>
      <c r="AB102">
        <v>96</v>
      </c>
      <c r="AC102">
        <v>397</v>
      </c>
      <c r="AD102">
        <v>2050</v>
      </c>
      <c r="AE102">
        <v>5.16</v>
      </c>
      <c r="AF102">
        <v>25</v>
      </c>
      <c r="AG102">
        <v>170.8</v>
      </c>
      <c r="AH102">
        <v>58</v>
      </c>
      <c r="AI102">
        <v>445</v>
      </c>
      <c r="AJ102">
        <v>1919</v>
      </c>
      <c r="AK102">
        <v>4.3099999999999996</v>
      </c>
      <c r="AL102">
        <v>159.9</v>
      </c>
      <c r="AM102">
        <v>56</v>
      </c>
      <c r="AN102">
        <v>15</v>
      </c>
      <c r="AO102">
        <v>39</v>
      </c>
      <c r="AP102">
        <v>7</v>
      </c>
      <c r="AQ102">
        <v>15</v>
      </c>
      <c r="AR102">
        <v>87</v>
      </c>
      <c r="AS102">
        <v>1.25</v>
      </c>
      <c r="AT102">
        <v>190</v>
      </c>
      <c r="AU102">
        <v>63</v>
      </c>
      <c r="AV102">
        <v>5.2</v>
      </c>
      <c r="AW102">
        <v>16</v>
      </c>
      <c r="AX102">
        <v>16</v>
      </c>
      <c r="AY102">
        <f t="shared" si="2"/>
        <v>0</v>
      </c>
      <c r="AZ102">
        <f>AY102/B102</f>
        <v>0</v>
      </c>
    </row>
    <row r="103" spans="1:52">
      <c r="A103" t="s">
        <v>153</v>
      </c>
      <c r="B103">
        <v>12</v>
      </c>
      <c r="C103" s="2">
        <v>4</v>
      </c>
      <c r="D103" s="2">
        <v>8</v>
      </c>
      <c r="E103" s="2">
        <f t="shared" si="3"/>
        <v>0.33333333333333331</v>
      </c>
      <c r="F103">
        <v>271</v>
      </c>
      <c r="G103">
        <v>22.6</v>
      </c>
      <c r="H103">
        <v>331</v>
      </c>
      <c r="I103">
        <v>27.6</v>
      </c>
      <c r="J103">
        <v>4130</v>
      </c>
      <c r="K103">
        <v>5.43</v>
      </c>
      <c r="L103">
        <v>34</v>
      </c>
      <c r="M103">
        <v>344.2</v>
      </c>
      <c r="N103">
        <v>4973</v>
      </c>
      <c r="O103">
        <v>5.48</v>
      </c>
      <c r="P103">
        <v>40</v>
      </c>
      <c r="Q103">
        <v>41</v>
      </c>
      <c r="R103">
        <v>414.4</v>
      </c>
      <c r="S103">
        <v>65</v>
      </c>
      <c r="T103">
        <v>510</v>
      </c>
      <c r="U103">
        <v>42.5</v>
      </c>
      <c r="V103">
        <v>7.77</v>
      </c>
      <c r="W103">
        <v>12.93</v>
      </c>
      <c r="X103">
        <v>220.8</v>
      </c>
      <c r="Y103">
        <v>6.63</v>
      </c>
      <c r="Z103">
        <v>11.13</v>
      </c>
      <c r="AA103">
        <v>225.3</v>
      </c>
      <c r="AB103">
        <v>109</v>
      </c>
      <c r="AC103">
        <v>499</v>
      </c>
      <c r="AD103">
        <v>2269</v>
      </c>
      <c r="AE103">
        <v>4.55</v>
      </c>
      <c r="AF103">
        <v>22</v>
      </c>
      <c r="AG103">
        <v>189.1</v>
      </c>
      <c r="AH103">
        <v>100</v>
      </c>
      <c r="AI103">
        <v>420</v>
      </c>
      <c r="AJ103">
        <v>1480</v>
      </c>
      <c r="AK103">
        <v>3.52</v>
      </c>
      <c r="AL103">
        <v>123.3</v>
      </c>
      <c r="AM103">
        <v>41</v>
      </c>
      <c r="AN103">
        <v>16</v>
      </c>
      <c r="AO103">
        <v>35</v>
      </c>
      <c r="AP103">
        <v>9</v>
      </c>
      <c r="AQ103">
        <v>32</v>
      </c>
      <c r="AR103">
        <v>247</v>
      </c>
      <c r="AS103">
        <v>2.71</v>
      </c>
      <c r="AT103">
        <v>232</v>
      </c>
      <c r="AU103">
        <v>60</v>
      </c>
      <c r="AV103">
        <v>5</v>
      </c>
      <c r="AW103">
        <v>16</v>
      </c>
      <c r="AX103">
        <v>19</v>
      </c>
      <c r="AY103">
        <f t="shared" si="2"/>
        <v>-3</v>
      </c>
      <c r="AZ103">
        <f>AY103/B103</f>
        <v>-0.25</v>
      </c>
    </row>
    <row r="104" spans="1:52">
      <c r="A104" t="s">
        <v>154</v>
      </c>
      <c r="B104">
        <v>10</v>
      </c>
      <c r="C104" s="2">
        <v>3</v>
      </c>
      <c r="D104" s="2">
        <v>7</v>
      </c>
      <c r="E104" s="2">
        <f t="shared" si="3"/>
        <v>0.3</v>
      </c>
      <c r="F104">
        <v>170</v>
      </c>
      <c r="G104">
        <v>17</v>
      </c>
      <c r="H104">
        <v>240</v>
      </c>
      <c r="I104">
        <v>24</v>
      </c>
      <c r="J104">
        <v>3441</v>
      </c>
      <c r="K104">
        <v>5.14</v>
      </c>
      <c r="L104">
        <v>20</v>
      </c>
      <c r="M104">
        <v>344.1</v>
      </c>
      <c r="N104">
        <v>3576</v>
      </c>
      <c r="O104">
        <v>4.97</v>
      </c>
      <c r="P104">
        <v>22</v>
      </c>
      <c r="Q104">
        <v>26</v>
      </c>
      <c r="R104">
        <v>357.6</v>
      </c>
      <c r="S104">
        <v>70</v>
      </c>
      <c r="T104">
        <v>622</v>
      </c>
      <c r="U104">
        <v>62.2</v>
      </c>
      <c r="V104">
        <v>6.48</v>
      </c>
      <c r="W104">
        <v>11.95</v>
      </c>
      <c r="X104">
        <v>221</v>
      </c>
      <c r="Y104">
        <v>6.55</v>
      </c>
      <c r="Z104">
        <v>10.7</v>
      </c>
      <c r="AA104">
        <v>204.4</v>
      </c>
      <c r="AB104">
        <v>71</v>
      </c>
      <c r="AC104">
        <v>407</v>
      </c>
      <c r="AD104">
        <v>1532</v>
      </c>
      <c r="AE104">
        <v>3.76</v>
      </c>
      <c r="AF104">
        <v>12</v>
      </c>
      <c r="AG104">
        <v>153.19999999999999</v>
      </c>
      <c r="AH104">
        <v>102</v>
      </c>
      <c r="AI104">
        <v>329</v>
      </c>
      <c r="AJ104">
        <v>1231</v>
      </c>
      <c r="AK104">
        <v>3.74</v>
      </c>
      <c r="AL104">
        <v>123.1</v>
      </c>
      <c r="AM104">
        <v>26</v>
      </c>
      <c r="AN104">
        <v>19</v>
      </c>
      <c r="AO104">
        <v>20</v>
      </c>
      <c r="AP104">
        <v>11</v>
      </c>
      <c r="AQ104">
        <v>34</v>
      </c>
      <c r="AR104">
        <v>227</v>
      </c>
      <c r="AS104">
        <v>3.4</v>
      </c>
      <c r="AT104">
        <v>211</v>
      </c>
      <c r="AU104">
        <v>50</v>
      </c>
      <c r="AV104">
        <v>5</v>
      </c>
      <c r="AW104">
        <v>13</v>
      </c>
      <c r="AX104">
        <v>22</v>
      </c>
      <c r="AY104">
        <f t="shared" si="2"/>
        <v>-9</v>
      </c>
      <c r="AZ104">
        <f>AY104/B104</f>
        <v>-0.9</v>
      </c>
    </row>
    <row r="105" spans="1:52">
      <c r="A105" t="s">
        <v>155</v>
      </c>
      <c r="B105">
        <v>13</v>
      </c>
      <c r="C105" s="2">
        <v>3</v>
      </c>
      <c r="D105" s="2">
        <v>10</v>
      </c>
      <c r="E105" s="2">
        <f t="shared" si="3"/>
        <v>0.23076923076923078</v>
      </c>
      <c r="F105">
        <v>257</v>
      </c>
      <c r="G105">
        <v>19.8</v>
      </c>
      <c r="H105">
        <v>451</v>
      </c>
      <c r="I105">
        <v>34.700000000000003</v>
      </c>
      <c r="J105">
        <v>4456</v>
      </c>
      <c r="K105">
        <v>4.97</v>
      </c>
      <c r="L105">
        <v>29</v>
      </c>
      <c r="M105">
        <v>342.8</v>
      </c>
      <c r="N105">
        <v>5696</v>
      </c>
      <c r="O105">
        <v>6.6</v>
      </c>
      <c r="P105">
        <v>49</v>
      </c>
      <c r="Q105">
        <v>55</v>
      </c>
      <c r="R105">
        <v>438.2</v>
      </c>
      <c r="S105">
        <v>73</v>
      </c>
      <c r="T105">
        <v>653</v>
      </c>
      <c r="U105">
        <v>50.23</v>
      </c>
      <c r="V105">
        <v>5.45</v>
      </c>
      <c r="W105">
        <v>10.24</v>
      </c>
      <c r="X105">
        <v>205.5</v>
      </c>
      <c r="Y105">
        <v>7.94</v>
      </c>
      <c r="Z105">
        <v>12.44</v>
      </c>
      <c r="AA105">
        <v>224.8</v>
      </c>
      <c r="AB105">
        <v>126</v>
      </c>
      <c r="AC105">
        <v>495</v>
      </c>
      <c r="AD105">
        <v>2773</v>
      </c>
      <c r="AE105">
        <v>5.6</v>
      </c>
      <c r="AF105">
        <v>28</v>
      </c>
      <c r="AG105">
        <v>213.3</v>
      </c>
      <c r="AH105">
        <v>86</v>
      </c>
      <c r="AI105">
        <v>406</v>
      </c>
      <c r="AJ105">
        <v>1784</v>
      </c>
      <c r="AK105">
        <v>4.3899999999999997</v>
      </c>
      <c r="AL105">
        <v>137.19999999999999</v>
      </c>
      <c r="AM105">
        <v>55</v>
      </c>
      <c r="AN105">
        <v>22</v>
      </c>
      <c r="AO105">
        <v>30</v>
      </c>
      <c r="AP105">
        <v>16</v>
      </c>
      <c r="AQ105">
        <v>20</v>
      </c>
      <c r="AR105">
        <v>146</v>
      </c>
      <c r="AS105">
        <v>1.54</v>
      </c>
      <c r="AT105">
        <v>198</v>
      </c>
      <c r="AU105">
        <v>54</v>
      </c>
      <c r="AV105">
        <v>4.2</v>
      </c>
      <c r="AW105">
        <v>12</v>
      </c>
      <c r="AX105">
        <v>20</v>
      </c>
      <c r="AY105">
        <f t="shared" si="2"/>
        <v>-8</v>
      </c>
      <c r="AZ105">
        <f>AY105/B105</f>
        <v>-0.61538461538461542</v>
      </c>
    </row>
    <row r="106" spans="1:52">
      <c r="A106" t="s">
        <v>156</v>
      </c>
      <c r="B106">
        <v>13</v>
      </c>
      <c r="C106" s="2">
        <v>8</v>
      </c>
      <c r="D106" s="2">
        <v>5</v>
      </c>
      <c r="E106" s="2">
        <f t="shared" si="3"/>
        <v>0.61538461538461542</v>
      </c>
      <c r="F106">
        <v>316</v>
      </c>
      <c r="G106">
        <v>24.3</v>
      </c>
      <c r="H106">
        <v>249</v>
      </c>
      <c r="I106">
        <v>19.2</v>
      </c>
      <c r="J106">
        <v>4418</v>
      </c>
      <c r="K106">
        <v>4.84</v>
      </c>
      <c r="L106">
        <v>31</v>
      </c>
      <c r="M106">
        <v>339.8</v>
      </c>
      <c r="N106">
        <v>4250</v>
      </c>
      <c r="O106">
        <v>4.99</v>
      </c>
      <c r="P106">
        <v>28</v>
      </c>
      <c r="Q106">
        <v>29</v>
      </c>
      <c r="R106">
        <v>326.89999999999998</v>
      </c>
      <c r="S106">
        <v>95</v>
      </c>
      <c r="T106">
        <v>747</v>
      </c>
      <c r="U106">
        <v>57.46</v>
      </c>
      <c r="V106">
        <v>6.24</v>
      </c>
      <c r="W106">
        <v>10.93</v>
      </c>
      <c r="X106">
        <v>226.1</v>
      </c>
      <c r="Y106">
        <v>6.38</v>
      </c>
      <c r="Z106">
        <v>11.14</v>
      </c>
      <c r="AA106">
        <v>226.2</v>
      </c>
      <c r="AB106">
        <v>11</v>
      </c>
      <c r="AC106">
        <v>390</v>
      </c>
      <c r="AD106">
        <v>1309</v>
      </c>
      <c r="AE106">
        <v>3.36</v>
      </c>
      <c r="AF106">
        <v>13</v>
      </c>
      <c r="AG106">
        <v>100.7</v>
      </c>
      <c r="AH106">
        <v>110</v>
      </c>
      <c r="AI106">
        <v>442</v>
      </c>
      <c r="AJ106">
        <v>1479</v>
      </c>
      <c r="AK106">
        <v>3.35</v>
      </c>
      <c r="AL106">
        <v>113.8</v>
      </c>
      <c r="AM106">
        <v>29</v>
      </c>
      <c r="AN106">
        <v>16</v>
      </c>
      <c r="AO106">
        <v>33</v>
      </c>
      <c r="AP106">
        <v>29</v>
      </c>
      <c r="AQ106">
        <v>26</v>
      </c>
      <c r="AR106">
        <v>148</v>
      </c>
      <c r="AS106">
        <v>2</v>
      </c>
      <c r="AT106">
        <v>346</v>
      </c>
      <c r="AU106">
        <v>92</v>
      </c>
      <c r="AV106">
        <v>7.1</v>
      </c>
      <c r="AW106">
        <v>22</v>
      </c>
      <c r="AX106">
        <v>16</v>
      </c>
      <c r="AY106">
        <f t="shared" si="2"/>
        <v>6</v>
      </c>
      <c r="AZ106">
        <f>AY106/B106</f>
        <v>0.46153846153846156</v>
      </c>
    </row>
    <row r="107" spans="1:52">
      <c r="A107" t="s">
        <v>157</v>
      </c>
      <c r="B107">
        <v>12</v>
      </c>
      <c r="C107" s="2">
        <v>3</v>
      </c>
      <c r="D107" s="2">
        <v>9</v>
      </c>
      <c r="E107" s="2">
        <f t="shared" si="3"/>
        <v>0.25</v>
      </c>
      <c r="F107">
        <v>234</v>
      </c>
      <c r="G107">
        <v>19.5</v>
      </c>
      <c r="H107">
        <v>319</v>
      </c>
      <c r="I107">
        <v>26.6</v>
      </c>
      <c r="J107">
        <v>4073</v>
      </c>
      <c r="K107">
        <v>5.56</v>
      </c>
      <c r="L107">
        <v>27</v>
      </c>
      <c r="M107">
        <v>339.4</v>
      </c>
      <c r="N107">
        <v>5311</v>
      </c>
      <c r="O107">
        <v>5.73</v>
      </c>
      <c r="P107">
        <v>36</v>
      </c>
      <c r="Q107">
        <v>37</v>
      </c>
      <c r="R107">
        <v>442.6</v>
      </c>
      <c r="S107">
        <v>81</v>
      </c>
      <c r="T107">
        <v>730</v>
      </c>
      <c r="U107">
        <v>60.83</v>
      </c>
      <c r="V107">
        <v>7.05</v>
      </c>
      <c r="W107">
        <v>12.51</v>
      </c>
      <c r="X107">
        <v>247.2</v>
      </c>
      <c r="Y107">
        <v>8.19</v>
      </c>
      <c r="Z107">
        <v>12.63</v>
      </c>
      <c r="AA107">
        <v>244.2</v>
      </c>
      <c r="AB107">
        <v>118</v>
      </c>
      <c r="AC107">
        <v>569</v>
      </c>
      <c r="AD107">
        <v>2380</v>
      </c>
      <c r="AE107">
        <v>4.18</v>
      </c>
      <c r="AF107">
        <v>19</v>
      </c>
      <c r="AG107">
        <v>198.3</v>
      </c>
      <c r="AH107">
        <v>125</v>
      </c>
      <c r="AI107">
        <v>311</v>
      </c>
      <c r="AJ107">
        <v>1107</v>
      </c>
      <c r="AK107">
        <v>3.56</v>
      </c>
      <c r="AL107">
        <v>92.2</v>
      </c>
      <c r="AM107">
        <v>37</v>
      </c>
      <c r="AN107">
        <v>20</v>
      </c>
      <c r="AO107">
        <v>29</v>
      </c>
      <c r="AP107">
        <v>10</v>
      </c>
      <c r="AQ107">
        <v>35</v>
      </c>
      <c r="AR107">
        <v>218</v>
      </c>
      <c r="AS107">
        <v>2.92</v>
      </c>
      <c r="AT107">
        <v>301</v>
      </c>
      <c r="AU107">
        <v>74</v>
      </c>
      <c r="AV107">
        <v>6.2</v>
      </c>
      <c r="AW107">
        <v>19</v>
      </c>
      <c r="AX107">
        <v>19</v>
      </c>
      <c r="AY107">
        <f t="shared" si="2"/>
        <v>0</v>
      </c>
      <c r="AZ107">
        <f>AY107/B107</f>
        <v>0</v>
      </c>
    </row>
    <row r="108" spans="1:52">
      <c r="A108" t="s">
        <v>158</v>
      </c>
      <c r="B108">
        <v>12</v>
      </c>
      <c r="C108" s="2">
        <v>1</v>
      </c>
      <c r="D108" s="2">
        <v>11</v>
      </c>
      <c r="E108" s="2">
        <f t="shared" si="3"/>
        <v>8.3333333333333329E-2</v>
      </c>
      <c r="F108">
        <v>165</v>
      </c>
      <c r="G108">
        <v>13.8</v>
      </c>
      <c r="H108">
        <v>340</v>
      </c>
      <c r="I108">
        <v>28.3</v>
      </c>
      <c r="J108">
        <v>4025</v>
      </c>
      <c r="K108">
        <v>4.54</v>
      </c>
      <c r="L108">
        <v>21</v>
      </c>
      <c r="M108">
        <v>335.4</v>
      </c>
      <c r="N108">
        <v>4497</v>
      </c>
      <c r="O108">
        <v>5.56</v>
      </c>
      <c r="P108">
        <v>41</v>
      </c>
      <c r="Q108">
        <v>43</v>
      </c>
      <c r="R108">
        <v>374.8</v>
      </c>
      <c r="S108">
        <v>55</v>
      </c>
      <c r="T108">
        <v>490</v>
      </c>
      <c r="U108">
        <v>40.83</v>
      </c>
      <c r="V108">
        <v>6.05</v>
      </c>
      <c r="W108">
        <v>10.3</v>
      </c>
      <c r="X108">
        <v>210.3</v>
      </c>
      <c r="Y108">
        <v>7.05</v>
      </c>
      <c r="Z108">
        <v>11.9</v>
      </c>
      <c r="AA108">
        <v>183.4</v>
      </c>
      <c r="AB108">
        <v>110</v>
      </c>
      <c r="AC108">
        <v>497</v>
      </c>
      <c r="AD108">
        <v>2296</v>
      </c>
      <c r="AE108">
        <v>4.62</v>
      </c>
      <c r="AF108">
        <v>24</v>
      </c>
      <c r="AG108">
        <v>191.3</v>
      </c>
      <c r="AH108">
        <v>98</v>
      </c>
      <c r="AI108">
        <v>469</v>
      </c>
      <c r="AJ108">
        <v>1501</v>
      </c>
      <c r="AK108">
        <v>3.2</v>
      </c>
      <c r="AL108">
        <v>125.1</v>
      </c>
      <c r="AM108">
        <v>43</v>
      </c>
      <c r="AN108">
        <v>13</v>
      </c>
      <c r="AO108">
        <v>21</v>
      </c>
      <c r="AP108">
        <v>7</v>
      </c>
      <c r="AQ108">
        <v>21</v>
      </c>
      <c r="AR108">
        <v>130</v>
      </c>
      <c r="AS108">
        <v>1.75</v>
      </c>
      <c r="AT108">
        <v>213</v>
      </c>
      <c r="AU108">
        <v>55</v>
      </c>
      <c r="AV108">
        <v>4.5999999999999996</v>
      </c>
      <c r="AW108">
        <v>12</v>
      </c>
      <c r="AX108">
        <v>31</v>
      </c>
      <c r="AY108">
        <f t="shared" si="2"/>
        <v>-19</v>
      </c>
      <c r="AZ108">
        <f>AY108/B108</f>
        <v>-1.5833333333333333</v>
      </c>
    </row>
    <row r="109" spans="1:52">
      <c r="A109" t="s">
        <v>159</v>
      </c>
      <c r="B109">
        <v>13</v>
      </c>
      <c r="C109" s="2">
        <v>6</v>
      </c>
      <c r="D109" s="2">
        <v>7</v>
      </c>
      <c r="E109" s="2">
        <f t="shared" si="3"/>
        <v>0.46153846153846156</v>
      </c>
      <c r="F109">
        <v>305</v>
      </c>
      <c r="G109">
        <v>23.5</v>
      </c>
      <c r="H109">
        <v>423</v>
      </c>
      <c r="I109">
        <v>32.5</v>
      </c>
      <c r="J109">
        <v>4353</v>
      </c>
      <c r="K109">
        <v>5.0999999999999996</v>
      </c>
      <c r="L109">
        <v>33</v>
      </c>
      <c r="M109">
        <v>334.8</v>
      </c>
      <c r="N109">
        <v>5455</v>
      </c>
      <c r="O109">
        <v>5.82</v>
      </c>
      <c r="P109">
        <v>51</v>
      </c>
      <c r="Q109">
        <v>54</v>
      </c>
      <c r="R109">
        <v>419.6</v>
      </c>
      <c r="S109">
        <v>102</v>
      </c>
      <c r="T109">
        <v>916</v>
      </c>
      <c r="U109">
        <v>70.459999999999994</v>
      </c>
      <c r="V109">
        <v>6.97</v>
      </c>
      <c r="W109">
        <v>11.47</v>
      </c>
      <c r="X109">
        <v>234.7</v>
      </c>
      <c r="Y109">
        <v>7.51</v>
      </c>
      <c r="Z109">
        <v>11.6</v>
      </c>
      <c r="AA109">
        <v>250.7</v>
      </c>
      <c r="AB109">
        <v>92</v>
      </c>
      <c r="AC109">
        <v>504</v>
      </c>
      <c r="AD109">
        <v>2196</v>
      </c>
      <c r="AE109">
        <v>4.3600000000000003</v>
      </c>
      <c r="AF109">
        <v>22</v>
      </c>
      <c r="AG109">
        <v>168.9</v>
      </c>
      <c r="AH109">
        <v>121</v>
      </c>
      <c r="AI109">
        <v>415</v>
      </c>
      <c r="AJ109">
        <v>1302</v>
      </c>
      <c r="AK109">
        <v>3.14</v>
      </c>
      <c r="AL109">
        <v>100.2</v>
      </c>
      <c r="AM109">
        <v>54</v>
      </c>
      <c r="AN109">
        <v>13</v>
      </c>
      <c r="AO109">
        <v>38</v>
      </c>
      <c r="AP109">
        <v>11</v>
      </c>
      <c r="AQ109">
        <v>37</v>
      </c>
      <c r="AR109">
        <v>243</v>
      </c>
      <c r="AS109">
        <v>2.85</v>
      </c>
      <c r="AT109">
        <v>353</v>
      </c>
      <c r="AU109">
        <v>88</v>
      </c>
      <c r="AV109">
        <v>6.8</v>
      </c>
      <c r="AW109">
        <v>23</v>
      </c>
      <c r="AX109">
        <v>23</v>
      </c>
      <c r="AY109">
        <f t="shared" si="2"/>
        <v>0</v>
      </c>
      <c r="AZ109">
        <f>AY109/B109</f>
        <v>0</v>
      </c>
    </row>
    <row r="110" spans="1:52">
      <c r="A110" t="s">
        <v>160</v>
      </c>
      <c r="B110">
        <v>13</v>
      </c>
      <c r="C110" s="2">
        <v>7</v>
      </c>
      <c r="D110" s="2">
        <v>6</v>
      </c>
      <c r="E110" s="2">
        <f t="shared" si="3"/>
        <v>0.53846153846153844</v>
      </c>
      <c r="F110">
        <v>331</v>
      </c>
      <c r="G110">
        <v>25.5</v>
      </c>
      <c r="H110">
        <v>311</v>
      </c>
      <c r="I110">
        <v>23.9</v>
      </c>
      <c r="J110">
        <v>4298</v>
      </c>
      <c r="K110">
        <v>5.67</v>
      </c>
      <c r="L110">
        <v>43</v>
      </c>
      <c r="M110">
        <v>330.6</v>
      </c>
      <c r="N110">
        <v>4372</v>
      </c>
      <c r="O110">
        <v>5.01</v>
      </c>
      <c r="P110">
        <v>35</v>
      </c>
      <c r="Q110">
        <v>37</v>
      </c>
      <c r="R110">
        <v>336.3</v>
      </c>
      <c r="S110">
        <v>85</v>
      </c>
      <c r="T110">
        <v>736</v>
      </c>
      <c r="U110">
        <v>56.62</v>
      </c>
      <c r="V110">
        <v>7.21</v>
      </c>
      <c r="W110">
        <v>13.83</v>
      </c>
      <c r="X110">
        <v>169.2</v>
      </c>
      <c r="Y110">
        <v>6.46</v>
      </c>
      <c r="Z110">
        <v>10.99</v>
      </c>
      <c r="AA110">
        <v>186.8</v>
      </c>
      <c r="AB110">
        <v>65</v>
      </c>
      <c r="AC110">
        <v>496</v>
      </c>
      <c r="AD110">
        <v>1943</v>
      </c>
      <c r="AE110">
        <v>3.92</v>
      </c>
      <c r="AF110">
        <v>21</v>
      </c>
      <c r="AG110">
        <v>149.5</v>
      </c>
      <c r="AH110">
        <v>57</v>
      </c>
      <c r="AI110">
        <v>453</v>
      </c>
      <c r="AJ110">
        <v>2099</v>
      </c>
      <c r="AK110">
        <v>4.63</v>
      </c>
      <c r="AL110">
        <v>161.5</v>
      </c>
      <c r="AM110">
        <v>37</v>
      </c>
      <c r="AN110">
        <v>17</v>
      </c>
      <c r="AO110">
        <v>44</v>
      </c>
      <c r="AP110">
        <v>8</v>
      </c>
      <c r="AQ110">
        <v>16</v>
      </c>
      <c r="AR110">
        <v>119</v>
      </c>
      <c r="AS110">
        <v>1.23</v>
      </c>
      <c r="AT110">
        <v>280</v>
      </c>
      <c r="AU110">
        <v>75</v>
      </c>
      <c r="AV110">
        <v>5.8</v>
      </c>
      <c r="AW110">
        <v>14</v>
      </c>
      <c r="AX110">
        <v>19</v>
      </c>
      <c r="AY110">
        <f t="shared" si="2"/>
        <v>-5</v>
      </c>
      <c r="AZ110">
        <f>AY110/B110</f>
        <v>-0.38461538461538464</v>
      </c>
    </row>
    <row r="111" spans="1:52">
      <c r="A111" t="s">
        <v>161</v>
      </c>
      <c r="B111">
        <v>12</v>
      </c>
      <c r="C111" s="2">
        <v>4</v>
      </c>
      <c r="D111" s="2">
        <v>8</v>
      </c>
      <c r="E111" s="2">
        <f t="shared" si="3"/>
        <v>0.33333333333333331</v>
      </c>
      <c r="F111">
        <v>279</v>
      </c>
      <c r="G111">
        <v>23.2</v>
      </c>
      <c r="H111">
        <v>407</v>
      </c>
      <c r="I111">
        <v>33.9</v>
      </c>
      <c r="J111">
        <v>3939</v>
      </c>
      <c r="K111">
        <v>4.4800000000000004</v>
      </c>
      <c r="L111">
        <v>31</v>
      </c>
      <c r="M111">
        <v>328.2</v>
      </c>
      <c r="N111">
        <v>5391</v>
      </c>
      <c r="O111">
        <v>5.89</v>
      </c>
      <c r="P111">
        <v>49</v>
      </c>
      <c r="Q111">
        <v>53</v>
      </c>
      <c r="R111">
        <v>449.2</v>
      </c>
      <c r="S111">
        <v>60</v>
      </c>
      <c r="T111">
        <v>543</v>
      </c>
      <c r="U111">
        <v>45.25</v>
      </c>
      <c r="V111">
        <v>5.4</v>
      </c>
      <c r="W111">
        <v>10</v>
      </c>
      <c r="X111">
        <v>217.4</v>
      </c>
      <c r="Y111">
        <v>8.0399999999999991</v>
      </c>
      <c r="Z111">
        <v>12.56</v>
      </c>
      <c r="AA111">
        <v>274.2</v>
      </c>
      <c r="AB111">
        <v>99</v>
      </c>
      <c r="AC111">
        <v>507</v>
      </c>
      <c r="AD111">
        <v>2101</v>
      </c>
      <c r="AE111">
        <v>4.1399999999999997</v>
      </c>
      <c r="AF111">
        <v>19</v>
      </c>
      <c r="AG111">
        <v>175.1</v>
      </c>
      <c r="AH111">
        <v>112</v>
      </c>
      <c r="AI111">
        <v>396</v>
      </c>
      <c r="AJ111">
        <v>1330</v>
      </c>
      <c r="AK111">
        <v>3.36</v>
      </c>
      <c r="AL111">
        <v>110.8</v>
      </c>
      <c r="AM111">
        <v>53</v>
      </c>
      <c r="AN111">
        <v>13</v>
      </c>
      <c r="AO111">
        <v>34</v>
      </c>
      <c r="AP111">
        <v>14</v>
      </c>
      <c r="AQ111">
        <v>38</v>
      </c>
      <c r="AR111">
        <v>294</v>
      </c>
      <c r="AS111">
        <v>3.17</v>
      </c>
      <c r="AT111">
        <v>265</v>
      </c>
      <c r="AU111">
        <v>62</v>
      </c>
      <c r="AV111">
        <v>5.2</v>
      </c>
      <c r="AW111">
        <v>14</v>
      </c>
      <c r="AX111">
        <v>18</v>
      </c>
      <c r="AY111">
        <f t="shared" si="2"/>
        <v>-4</v>
      </c>
      <c r="AZ111">
        <f>AY111/B111</f>
        <v>-0.33333333333333331</v>
      </c>
    </row>
    <row r="112" spans="1:52">
      <c r="A112" t="s">
        <v>162</v>
      </c>
      <c r="B112">
        <v>12</v>
      </c>
      <c r="C112" s="2">
        <v>4</v>
      </c>
      <c r="D112" s="2">
        <v>8</v>
      </c>
      <c r="E112" s="2">
        <f t="shared" si="3"/>
        <v>0.33333333333333331</v>
      </c>
      <c r="F112">
        <v>263</v>
      </c>
      <c r="G112">
        <v>21.9</v>
      </c>
      <c r="H112">
        <v>292</v>
      </c>
      <c r="I112">
        <v>24.3</v>
      </c>
      <c r="J112">
        <v>3922</v>
      </c>
      <c r="K112">
        <v>4.7</v>
      </c>
      <c r="L112">
        <v>31</v>
      </c>
      <c r="M112">
        <v>326.8</v>
      </c>
      <c r="N112">
        <v>4068</v>
      </c>
      <c r="O112">
        <v>5.79</v>
      </c>
      <c r="P112">
        <v>32</v>
      </c>
      <c r="Q112">
        <v>34</v>
      </c>
      <c r="R112">
        <v>339</v>
      </c>
      <c r="S112">
        <v>46</v>
      </c>
      <c r="T112">
        <v>376</v>
      </c>
      <c r="U112">
        <v>31.33</v>
      </c>
      <c r="V112">
        <v>8.16</v>
      </c>
      <c r="W112">
        <v>19.04</v>
      </c>
      <c r="X112">
        <v>85.7</v>
      </c>
      <c r="Y112">
        <v>8.6199999999999992</v>
      </c>
      <c r="Z112">
        <v>13.64</v>
      </c>
      <c r="AA112">
        <v>250.1</v>
      </c>
      <c r="AB112">
        <v>3</v>
      </c>
      <c r="AC112">
        <v>355</v>
      </c>
      <c r="AD112">
        <v>1067</v>
      </c>
      <c r="AE112">
        <v>3.01</v>
      </c>
      <c r="AF112">
        <v>7</v>
      </c>
      <c r="AG112">
        <v>88.9</v>
      </c>
      <c r="AH112">
        <v>4</v>
      </c>
      <c r="AI112">
        <v>708</v>
      </c>
      <c r="AJ112">
        <v>2894</v>
      </c>
      <c r="AK112">
        <v>4.09</v>
      </c>
      <c r="AL112">
        <v>241.2</v>
      </c>
      <c r="AM112">
        <v>34</v>
      </c>
      <c r="AN112">
        <v>18</v>
      </c>
      <c r="AO112">
        <v>32</v>
      </c>
      <c r="AP112">
        <v>13</v>
      </c>
      <c r="AQ112">
        <v>12</v>
      </c>
      <c r="AR112">
        <v>60</v>
      </c>
      <c r="AS112">
        <v>1</v>
      </c>
      <c r="AT112">
        <v>318</v>
      </c>
      <c r="AU112">
        <v>78</v>
      </c>
      <c r="AV112">
        <v>6.5</v>
      </c>
      <c r="AW112">
        <v>19</v>
      </c>
      <c r="AX112">
        <v>16</v>
      </c>
      <c r="AY112">
        <f t="shared" si="2"/>
        <v>3</v>
      </c>
      <c r="AZ112">
        <f>AY112/B112</f>
        <v>0.25</v>
      </c>
    </row>
    <row r="113" spans="1:52">
      <c r="A113" t="s">
        <v>163</v>
      </c>
      <c r="B113">
        <v>12</v>
      </c>
      <c r="C113" s="2">
        <v>4</v>
      </c>
      <c r="D113" s="2">
        <v>8</v>
      </c>
      <c r="E113" s="2">
        <f t="shared" si="3"/>
        <v>0.33333333333333331</v>
      </c>
      <c r="F113">
        <v>268</v>
      </c>
      <c r="G113">
        <v>22.3</v>
      </c>
      <c r="H113">
        <v>413</v>
      </c>
      <c r="I113">
        <v>34.4</v>
      </c>
      <c r="J113">
        <v>3912</v>
      </c>
      <c r="K113">
        <v>5.22</v>
      </c>
      <c r="L113">
        <v>32</v>
      </c>
      <c r="M113">
        <v>326</v>
      </c>
      <c r="N113">
        <v>5133</v>
      </c>
      <c r="O113">
        <v>6.19</v>
      </c>
      <c r="P113">
        <v>46</v>
      </c>
      <c r="Q113">
        <v>53</v>
      </c>
      <c r="R113">
        <v>427.8</v>
      </c>
      <c r="S113">
        <v>59</v>
      </c>
      <c r="T113">
        <v>537</v>
      </c>
      <c r="U113">
        <v>44.75</v>
      </c>
      <c r="V113">
        <v>7.42</v>
      </c>
      <c r="W113">
        <v>11.15</v>
      </c>
      <c r="X113">
        <v>205.3</v>
      </c>
      <c r="Y113">
        <v>8.07</v>
      </c>
      <c r="Z113">
        <v>12.14</v>
      </c>
      <c r="AA113">
        <v>232.7</v>
      </c>
      <c r="AB113">
        <v>115</v>
      </c>
      <c r="AC113">
        <v>483</v>
      </c>
      <c r="AD113">
        <v>2341</v>
      </c>
      <c r="AE113">
        <v>4.8499999999999996</v>
      </c>
      <c r="AF113">
        <v>29</v>
      </c>
      <c r="AG113">
        <v>195.1</v>
      </c>
      <c r="AH113">
        <v>104</v>
      </c>
      <c r="AI113">
        <v>418</v>
      </c>
      <c r="AJ113">
        <v>1448</v>
      </c>
      <c r="AK113">
        <v>3.46</v>
      </c>
      <c r="AL113">
        <v>120.7</v>
      </c>
      <c r="AM113">
        <v>53</v>
      </c>
      <c r="AN113">
        <v>14</v>
      </c>
      <c r="AO113">
        <v>34</v>
      </c>
      <c r="AP113">
        <v>10</v>
      </c>
      <c r="AQ113">
        <v>35</v>
      </c>
      <c r="AR113">
        <v>222</v>
      </c>
      <c r="AS113">
        <v>2.92</v>
      </c>
      <c r="AT113">
        <v>257</v>
      </c>
      <c r="AU113">
        <v>68</v>
      </c>
      <c r="AV113">
        <v>5.7</v>
      </c>
      <c r="AW113">
        <v>8</v>
      </c>
      <c r="AX113">
        <v>15</v>
      </c>
      <c r="AY113">
        <f t="shared" si="2"/>
        <v>-7</v>
      </c>
      <c r="AZ113">
        <f>AY113/B113</f>
        <v>-0.58333333333333337</v>
      </c>
    </row>
    <row r="114" spans="1:52">
      <c r="A114" t="s">
        <v>164</v>
      </c>
      <c r="B114">
        <v>12</v>
      </c>
      <c r="C114" s="2">
        <v>4</v>
      </c>
      <c r="D114" s="2">
        <v>8</v>
      </c>
      <c r="E114" s="2">
        <f t="shared" si="3"/>
        <v>0.33333333333333331</v>
      </c>
      <c r="F114">
        <v>253</v>
      </c>
      <c r="G114">
        <v>21.1</v>
      </c>
      <c r="H114">
        <v>316</v>
      </c>
      <c r="I114">
        <v>26.3</v>
      </c>
      <c r="J114">
        <v>3902</v>
      </c>
      <c r="K114">
        <v>4.72</v>
      </c>
      <c r="L114">
        <v>28</v>
      </c>
      <c r="M114">
        <v>325.2</v>
      </c>
      <c r="N114">
        <v>4333</v>
      </c>
      <c r="O114">
        <v>5.27</v>
      </c>
      <c r="P114">
        <v>36</v>
      </c>
      <c r="Q114">
        <v>39</v>
      </c>
      <c r="R114">
        <v>361.1</v>
      </c>
      <c r="S114">
        <v>59</v>
      </c>
      <c r="T114">
        <v>536</v>
      </c>
      <c r="U114">
        <v>44.67</v>
      </c>
      <c r="V114">
        <v>5.98</v>
      </c>
      <c r="W114">
        <v>9.65</v>
      </c>
      <c r="X114">
        <v>221.1</v>
      </c>
      <c r="Y114">
        <v>7.01</v>
      </c>
      <c r="Z114">
        <v>10.81</v>
      </c>
      <c r="AA114">
        <v>244.9</v>
      </c>
      <c r="AB114">
        <v>22</v>
      </c>
      <c r="AC114">
        <v>403</v>
      </c>
      <c r="AD114">
        <v>1394</v>
      </c>
      <c r="AE114">
        <v>3.46</v>
      </c>
      <c r="AF114">
        <v>18</v>
      </c>
      <c r="AG114">
        <v>116.2</v>
      </c>
      <c r="AH114">
        <v>120</v>
      </c>
      <c r="AI114">
        <v>383</v>
      </c>
      <c r="AJ114">
        <v>1249</v>
      </c>
      <c r="AK114">
        <v>3.26</v>
      </c>
      <c r="AL114">
        <v>104.1</v>
      </c>
      <c r="AM114">
        <v>39</v>
      </c>
      <c r="AN114">
        <v>14</v>
      </c>
      <c r="AO114">
        <v>30</v>
      </c>
      <c r="AP114">
        <v>15</v>
      </c>
      <c r="AQ114">
        <v>27</v>
      </c>
      <c r="AR114">
        <v>205</v>
      </c>
      <c r="AS114">
        <v>2.25</v>
      </c>
      <c r="AT114">
        <v>287</v>
      </c>
      <c r="AU114">
        <v>77</v>
      </c>
      <c r="AV114">
        <v>6.4</v>
      </c>
      <c r="AW114">
        <v>20</v>
      </c>
      <c r="AX114">
        <v>17</v>
      </c>
      <c r="AY114">
        <f t="shared" si="2"/>
        <v>3</v>
      </c>
      <c r="AZ114">
        <f>AY114/B114</f>
        <v>0.25</v>
      </c>
    </row>
    <row r="115" spans="1:52">
      <c r="A115" t="s">
        <v>165</v>
      </c>
      <c r="B115">
        <v>13</v>
      </c>
      <c r="C115" s="2">
        <v>7</v>
      </c>
      <c r="D115" s="2">
        <v>6</v>
      </c>
      <c r="E115" s="2">
        <f t="shared" si="3"/>
        <v>0.53846153846153844</v>
      </c>
      <c r="F115">
        <v>279</v>
      </c>
      <c r="G115">
        <v>21.5</v>
      </c>
      <c r="H115">
        <v>267</v>
      </c>
      <c r="I115">
        <v>20.5</v>
      </c>
      <c r="J115">
        <v>4224</v>
      </c>
      <c r="K115">
        <v>5.19</v>
      </c>
      <c r="L115">
        <v>26</v>
      </c>
      <c r="M115">
        <v>324.89999999999998</v>
      </c>
      <c r="N115">
        <v>4195</v>
      </c>
      <c r="O115">
        <v>4.92</v>
      </c>
      <c r="P115">
        <v>34</v>
      </c>
      <c r="Q115">
        <v>34</v>
      </c>
      <c r="R115">
        <v>322.7</v>
      </c>
      <c r="S115">
        <v>96</v>
      </c>
      <c r="T115">
        <v>772</v>
      </c>
      <c r="U115">
        <v>59.38</v>
      </c>
      <c r="V115">
        <v>6.88</v>
      </c>
      <c r="W115">
        <v>12.69</v>
      </c>
      <c r="X115">
        <v>181.5</v>
      </c>
      <c r="Y115">
        <v>6.53</v>
      </c>
      <c r="Z115">
        <v>10.65</v>
      </c>
      <c r="AA115">
        <v>208.8</v>
      </c>
      <c r="AB115">
        <v>20</v>
      </c>
      <c r="AC115">
        <v>436</v>
      </c>
      <c r="AD115">
        <v>1480</v>
      </c>
      <c r="AE115">
        <v>3.39</v>
      </c>
      <c r="AF115">
        <v>13</v>
      </c>
      <c r="AG115">
        <v>113.8</v>
      </c>
      <c r="AH115">
        <v>72</v>
      </c>
      <c r="AI115">
        <v>471</v>
      </c>
      <c r="AJ115">
        <v>1864</v>
      </c>
      <c r="AK115">
        <v>3.96</v>
      </c>
      <c r="AL115">
        <v>143.4</v>
      </c>
      <c r="AM115">
        <v>34</v>
      </c>
      <c r="AN115">
        <v>10</v>
      </c>
      <c r="AO115">
        <v>31</v>
      </c>
      <c r="AP115">
        <v>20</v>
      </c>
      <c r="AQ115">
        <v>27</v>
      </c>
      <c r="AR115">
        <v>171</v>
      </c>
      <c r="AS115">
        <v>2.08</v>
      </c>
      <c r="AT115">
        <v>420</v>
      </c>
      <c r="AU115">
        <v>89</v>
      </c>
      <c r="AV115">
        <v>6.8</v>
      </c>
      <c r="AW115">
        <v>20</v>
      </c>
      <c r="AX115">
        <v>25</v>
      </c>
      <c r="AY115">
        <f t="shared" si="2"/>
        <v>-5</v>
      </c>
      <c r="AZ115">
        <f>AY115/B115</f>
        <v>-0.38461538461538464</v>
      </c>
    </row>
    <row r="116" spans="1:52">
      <c r="A116" t="s">
        <v>166</v>
      </c>
      <c r="B116">
        <v>12</v>
      </c>
      <c r="C116" s="2">
        <v>5</v>
      </c>
      <c r="D116" s="2">
        <v>7</v>
      </c>
      <c r="E116" s="2">
        <f t="shared" si="3"/>
        <v>0.41666666666666669</v>
      </c>
      <c r="F116">
        <v>206</v>
      </c>
      <c r="G116">
        <v>17.2</v>
      </c>
      <c r="H116">
        <v>341</v>
      </c>
      <c r="I116">
        <v>28.4</v>
      </c>
      <c r="J116">
        <v>3898</v>
      </c>
      <c r="K116">
        <v>4.83</v>
      </c>
      <c r="L116">
        <v>23</v>
      </c>
      <c r="M116">
        <v>324.8</v>
      </c>
      <c r="N116">
        <v>4812</v>
      </c>
      <c r="O116">
        <v>5.56</v>
      </c>
      <c r="P116">
        <v>37</v>
      </c>
      <c r="Q116">
        <v>42</v>
      </c>
      <c r="R116">
        <v>401</v>
      </c>
      <c r="S116">
        <v>69</v>
      </c>
      <c r="T116">
        <v>623</v>
      </c>
      <c r="U116">
        <v>51.92</v>
      </c>
      <c r="V116">
        <v>6.05</v>
      </c>
      <c r="W116">
        <v>10.53</v>
      </c>
      <c r="X116">
        <v>192.2</v>
      </c>
      <c r="Y116">
        <v>6.96</v>
      </c>
      <c r="Z116">
        <v>11.97</v>
      </c>
      <c r="AA116">
        <v>212.4</v>
      </c>
      <c r="AB116">
        <v>108</v>
      </c>
      <c r="AC116">
        <v>500</v>
      </c>
      <c r="AD116">
        <v>2263</v>
      </c>
      <c r="AE116">
        <v>4.53</v>
      </c>
      <c r="AF116">
        <v>20</v>
      </c>
      <c r="AG116">
        <v>188.6</v>
      </c>
      <c r="AH116">
        <v>91</v>
      </c>
      <c r="AI116">
        <v>426</v>
      </c>
      <c r="AJ116">
        <v>1592</v>
      </c>
      <c r="AK116">
        <v>3.74</v>
      </c>
      <c r="AL116">
        <v>132.69999999999999</v>
      </c>
      <c r="AM116">
        <v>42</v>
      </c>
      <c r="AN116">
        <v>16</v>
      </c>
      <c r="AO116">
        <v>24</v>
      </c>
      <c r="AP116">
        <v>14</v>
      </c>
      <c r="AQ116">
        <v>39</v>
      </c>
      <c r="AR116">
        <v>239</v>
      </c>
      <c r="AS116">
        <v>3.25</v>
      </c>
      <c r="AT116">
        <v>286</v>
      </c>
      <c r="AU116">
        <v>75</v>
      </c>
      <c r="AV116">
        <v>6.2</v>
      </c>
      <c r="AW116">
        <v>24</v>
      </c>
      <c r="AX116">
        <v>13</v>
      </c>
      <c r="AY116">
        <f t="shared" si="2"/>
        <v>11</v>
      </c>
      <c r="AZ116">
        <f>AY116/B116</f>
        <v>0.91666666666666663</v>
      </c>
    </row>
    <row r="117" spans="1:52">
      <c r="A117" t="s">
        <v>167</v>
      </c>
      <c r="B117">
        <v>13</v>
      </c>
      <c r="C117" s="2">
        <v>7</v>
      </c>
      <c r="D117" s="2">
        <v>6</v>
      </c>
      <c r="E117" s="2">
        <f t="shared" si="3"/>
        <v>0.53846153846153844</v>
      </c>
      <c r="F117">
        <v>265</v>
      </c>
      <c r="G117">
        <v>20.399999999999999</v>
      </c>
      <c r="H117">
        <v>250</v>
      </c>
      <c r="I117">
        <v>19.2</v>
      </c>
      <c r="J117">
        <v>4221</v>
      </c>
      <c r="K117">
        <v>5.19</v>
      </c>
      <c r="L117">
        <v>30</v>
      </c>
      <c r="M117">
        <v>324.7</v>
      </c>
      <c r="N117">
        <v>4048</v>
      </c>
      <c r="O117">
        <v>5.19</v>
      </c>
      <c r="P117">
        <v>26</v>
      </c>
      <c r="Q117">
        <v>29</v>
      </c>
      <c r="R117">
        <v>311.39999999999998</v>
      </c>
      <c r="S117">
        <v>74</v>
      </c>
      <c r="T117">
        <v>514</v>
      </c>
      <c r="U117">
        <v>39.54</v>
      </c>
      <c r="V117">
        <v>7.77</v>
      </c>
      <c r="W117">
        <v>12.1</v>
      </c>
      <c r="X117">
        <v>208.5</v>
      </c>
      <c r="Y117">
        <v>6.4</v>
      </c>
      <c r="Z117">
        <v>10.78</v>
      </c>
      <c r="AA117">
        <v>170.8</v>
      </c>
      <c r="AB117">
        <v>49</v>
      </c>
      <c r="AC117">
        <v>433</v>
      </c>
      <c r="AD117">
        <v>1828</v>
      </c>
      <c r="AE117">
        <v>4.22</v>
      </c>
      <c r="AF117">
        <v>16</v>
      </c>
      <c r="AG117">
        <v>140.6</v>
      </c>
      <c r="AH117">
        <v>108</v>
      </c>
      <c r="AI117">
        <v>464</v>
      </c>
      <c r="AJ117">
        <v>1511</v>
      </c>
      <c r="AK117">
        <v>3.26</v>
      </c>
      <c r="AL117">
        <v>116.2</v>
      </c>
      <c r="AM117">
        <v>29</v>
      </c>
      <c r="AN117">
        <v>15</v>
      </c>
      <c r="AO117">
        <v>32</v>
      </c>
      <c r="AP117">
        <v>16</v>
      </c>
      <c r="AQ117">
        <v>47</v>
      </c>
      <c r="AR117">
        <v>318</v>
      </c>
      <c r="AS117">
        <v>3.62</v>
      </c>
      <c r="AT117">
        <v>231</v>
      </c>
      <c r="AU117">
        <v>55</v>
      </c>
      <c r="AV117">
        <v>4.2</v>
      </c>
      <c r="AW117">
        <v>17</v>
      </c>
      <c r="AX117">
        <v>19</v>
      </c>
      <c r="AY117">
        <f t="shared" si="2"/>
        <v>-2</v>
      </c>
      <c r="AZ117">
        <f>AY117/B117</f>
        <v>-0.15384615384615385</v>
      </c>
    </row>
    <row r="118" spans="1:52">
      <c r="A118" t="s">
        <v>168</v>
      </c>
      <c r="B118">
        <v>12</v>
      </c>
      <c r="C118" s="2">
        <v>4</v>
      </c>
      <c r="D118" s="2">
        <v>8</v>
      </c>
      <c r="E118" s="2">
        <f t="shared" si="3"/>
        <v>0.33333333333333331</v>
      </c>
      <c r="F118">
        <v>224</v>
      </c>
      <c r="G118">
        <v>18.7</v>
      </c>
      <c r="H118">
        <v>447</v>
      </c>
      <c r="I118">
        <v>37.200000000000003</v>
      </c>
      <c r="J118">
        <v>3885</v>
      </c>
      <c r="K118">
        <v>4.71</v>
      </c>
      <c r="L118">
        <v>27</v>
      </c>
      <c r="M118">
        <v>323.8</v>
      </c>
      <c r="N118">
        <v>5425</v>
      </c>
      <c r="O118">
        <v>6.05</v>
      </c>
      <c r="P118">
        <v>55</v>
      </c>
      <c r="Q118">
        <v>58</v>
      </c>
      <c r="R118">
        <v>452.1</v>
      </c>
      <c r="S118">
        <v>74</v>
      </c>
      <c r="T118">
        <v>640</v>
      </c>
      <c r="U118">
        <v>53.33</v>
      </c>
      <c r="V118">
        <v>5.61</v>
      </c>
      <c r="W118">
        <v>9.69</v>
      </c>
      <c r="X118">
        <v>218.8</v>
      </c>
      <c r="Y118">
        <v>7.73</v>
      </c>
      <c r="Z118">
        <v>11.74</v>
      </c>
      <c r="AA118">
        <v>260.3</v>
      </c>
      <c r="AB118">
        <v>111</v>
      </c>
      <c r="AC118">
        <v>493</v>
      </c>
      <c r="AD118">
        <v>2301</v>
      </c>
      <c r="AE118">
        <v>4.67</v>
      </c>
      <c r="AF118">
        <v>31</v>
      </c>
      <c r="AG118">
        <v>191.8</v>
      </c>
      <c r="AH118">
        <v>119</v>
      </c>
      <c r="AI118">
        <v>356</v>
      </c>
      <c r="AJ118">
        <v>1260</v>
      </c>
      <c r="AK118">
        <v>3.54</v>
      </c>
      <c r="AL118">
        <v>105</v>
      </c>
      <c r="AM118">
        <v>58</v>
      </c>
      <c r="AN118">
        <v>14</v>
      </c>
      <c r="AO118">
        <v>29</v>
      </c>
      <c r="AP118">
        <v>7</v>
      </c>
      <c r="AQ118">
        <v>18</v>
      </c>
      <c r="AR118">
        <v>114</v>
      </c>
      <c r="AS118">
        <v>1.5</v>
      </c>
      <c r="AT118">
        <v>252</v>
      </c>
      <c r="AU118">
        <v>71</v>
      </c>
      <c r="AV118">
        <v>5.9</v>
      </c>
      <c r="AW118">
        <v>16</v>
      </c>
      <c r="AX118">
        <v>22</v>
      </c>
      <c r="AY118">
        <f t="shared" si="2"/>
        <v>-6</v>
      </c>
      <c r="AZ118">
        <f>AY118/B118</f>
        <v>-0.5</v>
      </c>
    </row>
    <row r="119" spans="1:52">
      <c r="A119" t="s">
        <v>169</v>
      </c>
      <c r="B119">
        <v>12</v>
      </c>
      <c r="C119" s="2">
        <v>3</v>
      </c>
      <c r="D119" s="2">
        <v>9</v>
      </c>
      <c r="E119" s="2">
        <f t="shared" si="3"/>
        <v>0.25</v>
      </c>
      <c r="F119">
        <v>300</v>
      </c>
      <c r="G119">
        <v>25</v>
      </c>
      <c r="H119">
        <v>377</v>
      </c>
      <c r="I119">
        <v>31.4</v>
      </c>
      <c r="J119">
        <v>3777</v>
      </c>
      <c r="K119">
        <v>4.8600000000000003</v>
      </c>
      <c r="L119">
        <v>32</v>
      </c>
      <c r="M119">
        <v>314.8</v>
      </c>
      <c r="N119">
        <v>4861</v>
      </c>
      <c r="O119">
        <v>5.82</v>
      </c>
      <c r="P119">
        <v>48</v>
      </c>
      <c r="Q119">
        <v>50</v>
      </c>
      <c r="R119">
        <v>405.1</v>
      </c>
      <c r="S119">
        <v>69</v>
      </c>
      <c r="T119">
        <v>663</v>
      </c>
      <c r="U119">
        <v>55.25</v>
      </c>
      <c r="V119">
        <v>6.87</v>
      </c>
      <c r="W119">
        <v>11.01</v>
      </c>
      <c r="X119">
        <v>226.6</v>
      </c>
      <c r="Y119">
        <v>8.3000000000000007</v>
      </c>
      <c r="Z119">
        <v>13.74</v>
      </c>
      <c r="AA119">
        <v>242.7</v>
      </c>
      <c r="AB119">
        <v>82</v>
      </c>
      <c r="AC119">
        <v>484</v>
      </c>
      <c r="AD119">
        <v>1949</v>
      </c>
      <c r="AE119">
        <v>4.03</v>
      </c>
      <c r="AF119">
        <v>23</v>
      </c>
      <c r="AG119">
        <v>162.4</v>
      </c>
      <c r="AH119">
        <v>128</v>
      </c>
      <c r="AI119">
        <v>381</v>
      </c>
      <c r="AJ119">
        <v>1058</v>
      </c>
      <c r="AK119">
        <v>2.78</v>
      </c>
      <c r="AL119">
        <v>88.2</v>
      </c>
      <c r="AM119">
        <v>50</v>
      </c>
      <c r="AN119">
        <v>9</v>
      </c>
      <c r="AO119">
        <v>35</v>
      </c>
      <c r="AP119">
        <v>17</v>
      </c>
      <c r="AQ119">
        <v>38</v>
      </c>
      <c r="AR119">
        <v>274</v>
      </c>
      <c r="AS119">
        <v>3.17</v>
      </c>
      <c r="AT119">
        <v>242</v>
      </c>
      <c r="AU119">
        <v>76</v>
      </c>
      <c r="AV119">
        <v>6.3</v>
      </c>
      <c r="AW119">
        <v>12</v>
      </c>
      <c r="AX119">
        <v>9</v>
      </c>
      <c r="AY119">
        <f t="shared" si="2"/>
        <v>3</v>
      </c>
      <c r="AZ119">
        <f>AY119/B119</f>
        <v>0.25</v>
      </c>
    </row>
    <row r="120" spans="1:52">
      <c r="A120" t="s">
        <v>170</v>
      </c>
      <c r="B120">
        <v>13</v>
      </c>
      <c r="C120" s="2">
        <v>7</v>
      </c>
      <c r="D120" s="2">
        <v>6</v>
      </c>
      <c r="E120" s="2">
        <f t="shared" si="3"/>
        <v>0.53846153846153844</v>
      </c>
      <c r="F120">
        <v>276</v>
      </c>
      <c r="G120">
        <v>21.2</v>
      </c>
      <c r="H120">
        <v>311</v>
      </c>
      <c r="I120">
        <v>23.9</v>
      </c>
      <c r="J120">
        <v>4077</v>
      </c>
      <c r="K120">
        <v>5.21</v>
      </c>
      <c r="L120">
        <v>27</v>
      </c>
      <c r="M120">
        <v>313.60000000000002</v>
      </c>
      <c r="N120">
        <v>4816</v>
      </c>
      <c r="O120">
        <v>5.35</v>
      </c>
      <c r="P120">
        <v>36</v>
      </c>
      <c r="Q120">
        <v>37</v>
      </c>
      <c r="R120">
        <v>370.5</v>
      </c>
      <c r="S120">
        <v>56</v>
      </c>
      <c r="T120">
        <v>488</v>
      </c>
      <c r="U120">
        <v>37.54</v>
      </c>
      <c r="V120">
        <v>5.65</v>
      </c>
      <c r="W120">
        <v>11.02</v>
      </c>
      <c r="X120">
        <v>132.19999999999999</v>
      </c>
      <c r="Y120">
        <v>6.52</v>
      </c>
      <c r="Z120">
        <v>10.81</v>
      </c>
      <c r="AA120">
        <v>217</v>
      </c>
      <c r="AB120">
        <v>73</v>
      </c>
      <c r="AC120">
        <v>467</v>
      </c>
      <c r="AD120">
        <v>1995</v>
      </c>
      <c r="AE120">
        <v>4.2699999999999996</v>
      </c>
      <c r="AF120">
        <v>17</v>
      </c>
      <c r="AG120">
        <v>153.5</v>
      </c>
      <c r="AH120">
        <v>44</v>
      </c>
      <c r="AI120">
        <v>479</v>
      </c>
      <c r="AJ120">
        <v>2358</v>
      </c>
      <c r="AK120">
        <v>4.92</v>
      </c>
      <c r="AL120">
        <v>181.4</v>
      </c>
      <c r="AM120">
        <v>37</v>
      </c>
      <c r="AN120">
        <v>16</v>
      </c>
      <c r="AO120">
        <v>30</v>
      </c>
      <c r="AP120">
        <v>22</v>
      </c>
      <c r="AQ120">
        <v>19</v>
      </c>
      <c r="AR120">
        <v>147</v>
      </c>
      <c r="AS120">
        <v>1.46</v>
      </c>
      <c r="AT120">
        <v>310</v>
      </c>
      <c r="AU120">
        <v>73</v>
      </c>
      <c r="AV120">
        <v>5.6</v>
      </c>
      <c r="AW120">
        <v>14</v>
      </c>
      <c r="AX120">
        <v>16</v>
      </c>
      <c r="AY120">
        <f t="shared" si="2"/>
        <v>-2</v>
      </c>
      <c r="AZ120">
        <f>AY120/B120</f>
        <v>-0.15384615384615385</v>
      </c>
    </row>
    <row r="121" spans="1:52">
      <c r="A121" t="s">
        <v>171</v>
      </c>
      <c r="B121">
        <v>11</v>
      </c>
      <c r="C121" s="2">
        <v>3</v>
      </c>
      <c r="D121" s="2">
        <v>8</v>
      </c>
      <c r="E121" s="2">
        <f t="shared" si="3"/>
        <v>0.27272727272727271</v>
      </c>
      <c r="F121">
        <v>212</v>
      </c>
      <c r="G121">
        <v>19.3</v>
      </c>
      <c r="H121">
        <v>272</v>
      </c>
      <c r="I121">
        <v>24.7</v>
      </c>
      <c r="J121">
        <v>3448</v>
      </c>
      <c r="K121">
        <v>4.7</v>
      </c>
      <c r="L121">
        <v>24</v>
      </c>
      <c r="M121">
        <v>313.5</v>
      </c>
      <c r="N121">
        <v>4074</v>
      </c>
      <c r="O121">
        <v>5.4</v>
      </c>
      <c r="P121">
        <v>28</v>
      </c>
      <c r="Q121">
        <v>31</v>
      </c>
      <c r="R121">
        <v>370.4</v>
      </c>
      <c r="S121">
        <v>81</v>
      </c>
      <c r="T121">
        <v>643</v>
      </c>
      <c r="U121">
        <v>58.45</v>
      </c>
      <c r="V121">
        <v>6.46</v>
      </c>
      <c r="W121">
        <v>11.01</v>
      </c>
      <c r="X121">
        <v>203.3</v>
      </c>
      <c r="Y121">
        <v>6.92</v>
      </c>
      <c r="Z121">
        <v>11.65</v>
      </c>
      <c r="AA121">
        <v>235.2</v>
      </c>
      <c r="AB121">
        <v>43</v>
      </c>
      <c r="AC121">
        <v>381</v>
      </c>
      <c r="AD121">
        <v>1487</v>
      </c>
      <c r="AE121">
        <v>3.9</v>
      </c>
      <c r="AF121">
        <v>15</v>
      </c>
      <c r="AG121">
        <v>135.19999999999999</v>
      </c>
      <c r="AH121">
        <v>113</v>
      </c>
      <c r="AI121">
        <v>388</v>
      </c>
      <c r="AJ121">
        <v>1212</v>
      </c>
      <c r="AK121">
        <v>3.12</v>
      </c>
      <c r="AL121">
        <v>110.2</v>
      </c>
      <c r="AM121">
        <v>31</v>
      </c>
      <c r="AN121">
        <v>19</v>
      </c>
      <c r="AO121">
        <v>27</v>
      </c>
      <c r="AP121">
        <v>9</v>
      </c>
      <c r="AQ121">
        <v>33</v>
      </c>
      <c r="AR121">
        <v>227</v>
      </c>
      <c r="AS121">
        <v>3</v>
      </c>
      <c r="AT121">
        <v>258</v>
      </c>
      <c r="AU121">
        <v>74</v>
      </c>
      <c r="AV121">
        <v>6.7</v>
      </c>
      <c r="AW121">
        <v>9</v>
      </c>
      <c r="AX121">
        <v>15</v>
      </c>
      <c r="AY121">
        <f t="shared" si="2"/>
        <v>-6</v>
      </c>
      <c r="AZ121">
        <f>AY121/B121</f>
        <v>-0.54545454545454541</v>
      </c>
    </row>
    <row r="122" spans="1:52">
      <c r="A122" t="s">
        <v>172</v>
      </c>
      <c r="B122">
        <v>12</v>
      </c>
      <c r="C122" s="2">
        <v>3</v>
      </c>
      <c r="D122" s="2">
        <v>9</v>
      </c>
      <c r="E122" s="2">
        <f t="shared" si="3"/>
        <v>0.25</v>
      </c>
      <c r="F122">
        <v>213</v>
      </c>
      <c r="G122">
        <v>17.8</v>
      </c>
      <c r="H122">
        <v>364</v>
      </c>
      <c r="I122">
        <v>30.3</v>
      </c>
      <c r="J122">
        <v>3723</v>
      </c>
      <c r="K122">
        <v>4.6399999999999997</v>
      </c>
      <c r="L122">
        <v>27</v>
      </c>
      <c r="M122">
        <v>310.2</v>
      </c>
      <c r="N122">
        <v>4534</v>
      </c>
      <c r="O122">
        <v>5.63</v>
      </c>
      <c r="P122">
        <v>44</v>
      </c>
      <c r="Q122">
        <v>45</v>
      </c>
      <c r="R122">
        <v>377.8</v>
      </c>
      <c r="S122">
        <v>72</v>
      </c>
      <c r="T122">
        <v>582</v>
      </c>
      <c r="U122">
        <v>48.5</v>
      </c>
      <c r="V122">
        <v>6.74</v>
      </c>
      <c r="W122">
        <v>11.32</v>
      </c>
      <c r="X122">
        <v>247.1</v>
      </c>
      <c r="Y122">
        <v>7.28</v>
      </c>
      <c r="Z122">
        <v>12.36</v>
      </c>
      <c r="AA122">
        <v>211.2</v>
      </c>
      <c r="AB122">
        <v>88</v>
      </c>
      <c r="AC122">
        <v>458</v>
      </c>
      <c r="AD122">
        <v>2000</v>
      </c>
      <c r="AE122">
        <v>4.37</v>
      </c>
      <c r="AF122">
        <v>25</v>
      </c>
      <c r="AG122">
        <v>166.7</v>
      </c>
      <c r="AH122">
        <v>131</v>
      </c>
      <c r="AI122">
        <v>363</v>
      </c>
      <c r="AJ122">
        <v>758</v>
      </c>
      <c r="AK122">
        <v>2.09</v>
      </c>
      <c r="AL122">
        <v>63.2</v>
      </c>
      <c r="AM122">
        <v>45</v>
      </c>
      <c r="AN122">
        <v>18</v>
      </c>
      <c r="AO122">
        <v>27</v>
      </c>
      <c r="AP122">
        <v>9</v>
      </c>
      <c r="AQ122">
        <v>46</v>
      </c>
      <c r="AR122">
        <v>360</v>
      </c>
      <c r="AS122">
        <v>3.83</v>
      </c>
      <c r="AT122">
        <v>293</v>
      </c>
      <c r="AU122">
        <v>82</v>
      </c>
      <c r="AV122">
        <v>6.8</v>
      </c>
      <c r="AW122">
        <v>15</v>
      </c>
      <c r="AX122">
        <v>26</v>
      </c>
      <c r="AY122">
        <f t="shared" si="2"/>
        <v>-11</v>
      </c>
      <c r="AZ122">
        <f>AY122/B122</f>
        <v>-0.91666666666666663</v>
      </c>
    </row>
    <row r="123" spans="1:52">
      <c r="A123" t="s">
        <v>173</v>
      </c>
      <c r="B123">
        <v>13</v>
      </c>
      <c r="C123" s="2">
        <v>6</v>
      </c>
      <c r="D123" s="2">
        <v>7</v>
      </c>
      <c r="E123" s="2">
        <f t="shared" si="3"/>
        <v>0.46153846153846156</v>
      </c>
      <c r="F123">
        <v>263</v>
      </c>
      <c r="G123">
        <v>20.2</v>
      </c>
      <c r="H123">
        <v>294</v>
      </c>
      <c r="I123">
        <v>22.6</v>
      </c>
      <c r="J123">
        <v>3973</v>
      </c>
      <c r="K123">
        <v>4.8499999999999996</v>
      </c>
      <c r="L123">
        <v>29</v>
      </c>
      <c r="M123">
        <v>305.60000000000002</v>
      </c>
      <c r="N123">
        <v>4851</v>
      </c>
      <c r="O123">
        <v>5.41</v>
      </c>
      <c r="P123">
        <v>34</v>
      </c>
      <c r="Q123">
        <v>35</v>
      </c>
      <c r="R123">
        <v>373.2</v>
      </c>
      <c r="S123">
        <v>71</v>
      </c>
      <c r="T123">
        <v>627</v>
      </c>
      <c r="U123">
        <v>48.23</v>
      </c>
      <c r="V123">
        <v>6.39</v>
      </c>
      <c r="W123">
        <v>11.7</v>
      </c>
      <c r="X123">
        <v>165.5</v>
      </c>
      <c r="Y123">
        <v>6.93</v>
      </c>
      <c r="Z123">
        <v>11.3</v>
      </c>
      <c r="AA123">
        <v>237.2</v>
      </c>
      <c r="AB123">
        <v>44</v>
      </c>
      <c r="AC123">
        <v>452</v>
      </c>
      <c r="AD123">
        <v>1767</v>
      </c>
      <c r="AE123">
        <v>3.91</v>
      </c>
      <c r="AF123">
        <v>17</v>
      </c>
      <c r="AG123">
        <v>135.9</v>
      </c>
      <c r="AH123">
        <v>84</v>
      </c>
      <c r="AI123">
        <v>483</v>
      </c>
      <c r="AJ123">
        <v>1821</v>
      </c>
      <c r="AK123">
        <v>3.77</v>
      </c>
      <c r="AL123">
        <v>140.1</v>
      </c>
      <c r="AM123">
        <v>35</v>
      </c>
      <c r="AN123">
        <v>17</v>
      </c>
      <c r="AO123">
        <v>30</v>
      </c>
      <c r="AP123">
        <v>18</v>
      </c>
      <c r="AQ123">
        <v>38</v>
      </c>
      <c r="AR123">
        <v>237</v>
      </c>
      <c r="AS123">
        <v>2.92</v>
      </c>
      <c r="AT123">
        <v>239</v>
      </c>
      <c r="AU123">
        <v>58</v>
      </c>
      <c r="AV123">
        <v>4.5</v>
      </c>
      <c r="AW123">
        <v>22</v>
      </c>
      <c r="AX123">
        <v>12</v>
      </c>
      <c r="AY123">
        <f t="shared" si="2"/>
        <v>10</v>
      </c>
      <c r="AZ123">
        <f>AY123/B123</f>
        <v>0.76923076923076927</v>
      </c>
    </row>
    <row r="124" spans="1:52">
      <c r="A124" t="s">
        <v>174</v>
      </c>
      <c r="B124">
        <v>12</v>
      </c>
      <c r="C124" s="2">
        <v>2</v>
      </c>
      <c r="D124" s="2">
        <v>10</v>
      </c>
      <c r="E124" s="2">
        <f t="shared" si="3"/>
        <v>0.16666666666666666</v>
      </c>
      <c r="F124">
        <v>226</v>
      </c>
      <c r="G124">
        <v>18.8</v>
      </c>
      <c r="H124">
        <v>371</v>
      </c>
      <c r="I124">
        <v>30.9</v>
      </c>
      <c r="J124">
        <v>3656</v>
      </c>
      <c r="K124">
        <v>4.43</v>
      </c>
      <c r="L124">
        <v>26</v>
      </c>
      <c r="M124">
        <v>304.7</v>
      </c>
      <c r="N124">
        <v>4754</v>
      </c>
      <c r="O124">
        <v>5.84</v>
      </c>
      <c r="P124">
        <v>40</v>
      </c>
      <c r="Q124">
        <v>45</v>
      </c>
      <c r="R124">
        <v>396.2</v>
      </c>
      <c r="S124">
        <v>72</v>
      </c>
      <c r="T124">
        <v>661</v>
      </c>
      <c r="U124">
        <v>55.08</v>
      </c>
      <c r="V124">
        <v>5.6</v>
      </c>
      <c r="W124">
        <v>10.26</v>
      </c>
      <c r="X124">
        <v>185.6</v>
      </c>
      <c r="Y124">
        <v>7.81</v>
      </c>
      <c r="Z124">
        <v>12.99</v>
      </c>
      <c r="AA124">
        <v>231.6</v>
      </c>
      <c r="AB124">
        <v>85</v>
      </c>
      <c r="AC124">
        <v>458</v>
      </c>
      <c r="AD124">
        <v>1975</v>
      </c>
      <c r="AE124">
        <v>4.3099999999999996</v>
      </c>
      <c r="AF124">
        <v>23</v>
      </c>
      <c r="AG124">
        <v>164.6</v>
      </c>
      <c r="AH124">
        <v>105</v>
      </c>
      <c r="AI124">
        <v>427</v>
      </c>
      <c r="AJ124">
        <v>1429</v>
      </c>
      <c r="AK124">
        <v>3.35</v>
      </c>
      <c r="AL124">
        <v>119.1</v>
      </c>
      <c r="AM124">
        <v>45</v>
      </c>
      <c r="AN124">
        <v>18</v>
      </c>
      <c r="AO124">
        <v>27</v>
      </c>
      <c r="AP124">
        <v>13</v>
      </c>
      <c r="AQ124">
        <v>34</v>
      </c>
      <c r="AR124">
        <v>198</v>
      </c>
      <c r="AS124">
        <v>2.83</v>
      </c>
      <c r="AT124">
        <v>282</v>
      </c>
      <c r="AU124">
        <v>76</v>
      </c>
      <c r="AV124">
        <v>6.3</v>
      </c>
      <c r="AW124">
        <v>19</v>
      </c>
      <c r="AX124">
        <v>17</v>
      </c>
      <c r="AY124">
        <f t="shared" si="2"/>
        <v>2</v>
      </c>
      <c r="AZ124">
        <f>AY124/B124</f>
        <v>0.16666666666666666</v>
      </c>
    </row>
    <row r="125" spans="1:52">
      <c r="A125" t="s">
        <v>175</v>
      </c>
      <c r="B125">
        <v>13</v>
      </c>
      <c r="C125" s="2">
        <v>6</v>
      </c>
      <c r="D125" s="2">
        <v>7</v>
      </c>
      <c r="E125" s="2">
        <f t="shared" si="3"/>
        <v>0.46153846153846156</v>
      </c>
      <c r="F125">
        <v>252</v>
      </c>
      <c r="G125">
        <v>19.399999999999999</v>
      </c>
      <c r="H125">
        <v>341</v>
      </c>
      <c r="I125">
        <v>26.2</v>
      </c>
      <c r="J125">
        <v>3942</v>
      </c>
      <c r="K125">
        <v>4.92</v>
      </c>
      <c r="L125">
        <v>30</v>
      </c>
      <c r="M125">
        <v>303.2</v>
      </c>
      <c r="N125">
        <v>4946</v>
      </c>
      <c r="O125">
        <v>5.51</v>
      </c>
      <c r="P125">
        <v>39</v>
      </c>
      <c r="Q125">
        <v>43</v>
      </c>
      <c r="R125">
        <v>380.5</v>
      </c>
      <c r="S125">
        <v>92</v>
      </c>
      <c r="T125">
        <v>780</v>
      </c>
      <c r="U125">
        <v>60</v>
      </c>
      <c r="V125">
        <v>5.29</v>
      </c>
      <c r="W125">
        <v>9.2899999999999991</v>
      </c>
      <c r="X125">
        <v>112.2</v>
      </c>
      <c r="Y125">
        <v>6.92</v>
      </c>
      <c r="Z125">
        <v>11.05</v>
      </c>
      <c r="AA125">
        <v>210.8</v>
      </c>
      <c r="AB125">
        <v>93</v>
      </c>
      <c r="AC125">
        <v>502</v>
      </c>
      <c r="AD125">
        <v>2206</v>
      </c>
      <c r="AE125">
        <v>4.3899999999999997</v>
      </c>
      <c r="AF125">
        <v>24</v>
      </c>
      <c r="AG125">
        <v>169.7</v>
      </c>
      <c r="AH125">
        <v>33</v>
      </c>
      <c r="AI125">
        <v>525</v>
      </c>
      <c r="AJ125">
        <v>2483</v>
      </c>
      <c r="AK125">
        <v>4.7300000000000004</v>
      </c>
      <c r="AL125">
        <v>191</v>
      </c>
      <c r="AM125">
        <v>43</v>
      </c>
      <c r="AN125">
        <v>14</v>
      </c>
      <c r="AO125">
        <v>31</v>
      </c>
      <c r="AP125">
        <v>12</v>
      </c>
      <c r="AQ125">
        <v>18</v>
      </c>
      <c r="AR125">
        <v>120</v>
      </c>
      <c r="AS125">
        <v>1.38</v>
      </c>
      <c r="AT125">
        <v>270</v>
      </c>
      <c r="AU125">
        <v>64</v>
      </c>
      <c r="AV125">
        <v>4.9000000000000004</v>
      </c>
      <c r="AW125">
        <v>22</v>
      </c>
      <c r="AX125">
        <v>22</v>
      </c>
      <c r="AY125">
        <f t="shared" si="2"/>
        <v>0</v>
      </c>
      <c r="AZ125">
        <f>AY125/B125</f>
        <v>0</v>
      </c>
    </row>
    <row r="126" spans="1:52">
      <c r="A126" t="s">
        <v>176</v>
      </c>
      <c r="B126">
        <v>12</v>
      </c>
      <c r="C126" s="2">
        <v>5</v>
      </c>
      <c r="D126" s="2">
        <v>7</v>
      </c>
      <c r="E126" s="2">
        <f t="shared" si="3"/>
        <v>0.41666666666666669</v>
      </c>
      <c r="F126">
        <v>228</v>
      </c>
      <c r="G126">
        <v>19</v>
      </c>
      <c r="H126">
        <v>289</v>
      </c>
      <c r="I126">
        <v>24.1</v>
      </c>
      <c r="J126">
        <v>3623</v>
      </c>
      <c r="K126">
        <v>4.53</v>
      </c>
      <c r="L126">
        <v>24</v>
      </c>
      <c r="M126">
        <v>301.89999999999998</v>
      </c>
      <c r="N126">
        <v>4226</v>
      </c>
      <c r="O126">
        <v>5.43</v>
      </c>
      <c r="P126">
        <v>33</v>
      </c>
      <c r="Q126">
        <v>34</v>
      </c>
      <c r="R126">
        <v>352.2</v>
      </c>
      <c r="S126">
        <v>80</v>
      </c>
      <c r="T126">
        <v>755</v>
      </c>
      <c r="U126">
        <v>62.92</v>
      </c>
      <c r="V126">
        <v>5.93</v>
      </c>
      <c r="W126">
        <v>11.9</v>
      </c>
      <c r="X126">
        <v>165.7</v>
      </c>
      <c r="Y126">
        <v>7.25</v>
      </c>
      <c r="Z126">
        <v>12.54</v>
      </c>
      <c r="AA126">
        <v>212.1</v>
      </c>
      <c r="AB126">
        <v>48</v>
      </c>
      <c r="AC126">
        <v>427</v>
      </c>
      <c r="AD126">
        <v>1681</v>
      </c>
      <c r="AE126">
        <v>3.94</v>
      </c>
      <c r="AF126">
        <v>18</v>
      </c>
      <c r="AG126">
        <v>140.1</v>
      </c>
      <c r="AH126">
        <v>89</v>
      </c>
      <c r="AI126">
        <v>465</v>
      </c>
      <c r="AJ126">
        <v>1635</v>
      </c>
      <c r="AK126">
        <v>3.52</v>
      </c>
      <c r="AL126">
        <v>136.19999999999999</v>
      </c>
      <c r="AM126">
        <v>34</v>
      </c>
      <c r="AN126">
        <v>17</v>
      </c>
      <c r="AO126">
        <v>27</v>
      </c>
      <c r="AP126">
        <v>13</v>
      </c>
      <c r="AQ126">
        <v>42</v>
      </c>
      <c r="AR126">
        <v>238</v>
      </c>
      <c r="AS126">
        <v>3.5</v>
      </c>
      <c r="AT126">
        <v>323</v>
      </c>
      <c r="AU126">
        <v>80</v>
      </c>
      <c r="AV126">
        <v>6.7</v>
      </c>
      <c r="AW126">
        <v>25</v>
      </c>
      <c r="AX126">
        <v>21</v>
      </c>
      <c r="AY126">
        <f t="shared" si="2"/>
        <v>4</v>
      </c>
      <c r="AZ126">
        <f>AY126/B126</f>
        <v>0.33333333333333331</v>
      </c>
    </row>
    <row r="127" spans="1:52">
      <c r="A127" t="s">
        <v>177</v>
      </c>
      <c r="B127">
        <v>12</v>
      </c>
      <c r="C127" s="2">
        <v>3</v>
      </c>
      <c r="D127" s="2">
        <v>9</v>
      </c>
      <c r="E127" s="2">
        <f t="shared" si="3"/>
        <v>0.25</v>
      </c>
      <c r="F127">
        <v>158</v>
      </c>
      <c r="G127">
        <v>13.2</v>
      </c>
      <c r="H127">
        <v>323</v>
      </c>
      <c r="I127">
        <v>26.9</v>
      </c>
      <c r="J127">
        <v>3429</v>
      </c>
      <c r="K127">
        <v>4.8499999999999996</v>
      </c>
      <c r="L127">
        <v>16</v>
      </c>
      <c r="M127">
        <v>285.8</v>
      </c>
      <c r="N127">
        <v>4260</v>
      </c>
      <c r="O127">
        <v>5.14</v>
      </c>
      <c r="P127">
        <v>39</v>
      </c>
      <c r="Q127">
        <v>41</v>
      </c>
      <c r="R127">
        <v>355</v>
      </c>
      <c r="S127">
        <v>83</v>
      </c>
      <c r="T127">
        <v>725</v>
      </c>
      <c r="U127">
        <v>60.42</v>
      </c>
      <c r="V127">
        <v>7.33</v>
      </c>
      <c r="W127">
        <v>11.63</v>
      </c>
      <c r="X127">
        <v>196.8</v>
      </c>
      <c r="Y127">
        <v>6.47</v>
      </c>
      <c r="Z127">
        <v>10.49</v>
      </c>
      <c r="AA127">
        <v>191.4</v>
      </c>
      <c r="AB127">
        <v>84</v>
      </c>
      <c r="AC127">
        <v>473</v>
      </c>
      <c r="AD127">
        <v>1963</v>
      </c>
      <c r="AE127">
        <v>4.1500000000000004</v>
      </c>
      <c r="AF127">
        <v>24</v>
      </c>
      <c r="AG127">
        <v>163.6</v>
      </c>
      <c r="AH127">
        <v>127</v>
      </c>
      <c r="AI127">
        <v>385</v>
      </c>
      <c r="AJ127">
        <v>1068</v>
      </c>
      <c r="AK127">
        <v>2.77</v>
      </c>
      <c r="AL127">
        <v>89</v>
      </c>
      <c r="AM127">
        <v>41</v>
      </c>
      <c r="AN127">
        <v>12</v>
      </c>
      <c r="AO127">
        <v>19</v>
      </c>
      <c r="AP127">
        <v>10</v>
      </c>
      <c r="AQ127">
        <v>59</v>
      </c>
      <c r="AR127">
        <v>399</v>
      </c>
      <c r="AS127">
        <v>4.92</v>
      </c>
      <c r="AT127">
        <v>249</v>
      </c>
      <c r="AU127">
        <v>66</v>
      </c>
      <c r="AV127">
        <v>5.5</v>
      </c>
      <c r="AW127">
        <v>15</v>
      </c>
      <c r="AX127">
        <v>20</v>
      </c>
      <c r="AY127">
        <f t="shared" si="2"/>
        <v>-5</v>
      </c>
      <c r="AZ127">
        <f>AY127/B127</f>
        <v>-0.41666666666666669</v>
      </c>
    </row>
    <row r="128" spans="1:52">
      <c r="A128" t="s">
        <v>178</v>
      </c>
      <c r="B128">
        <v>12</v>
      </c>
      <c r="C128" s="2">
        <v>4</v>
      </c>
      <c r="D128" s="2">
        <v>8</v>
      </c>
      <c r="E128" s="2">
        <f t="shared" si="3"/>
        <v>0.33333333333333331</v>
      </c>
      <c r="F128">
        <v>209</v>
      </c>
      <c r="G128">
        <v>17.399999999999999</v>
      </c>
      <c r="H128">
        <v>351</v>
      </c>
      <c r="I128">
        <v>29.2</v>
      </c>
      <c r="J128">
        <v>3385</v>
      </c>
      <c r="K128">
        <v>4.4400000000000004</v>
      </c>
      <c r="L128">
        <v>22</v>
      </c>
      <c r="M128">
        <v>282.10000000000002</v>
      </c>
      <c r="N128">
        <v>4197</v>
      </c>
      <c r="O128">
        <v>5.18</v>
      </c>
      <c r="P128">
        <v>38</v>
      </c>
      <c r="Q128">
        <v>45</v>
      </c>
      <c r="R128">
        <v>349.8</v>
      </c>
      <c r="S128">
        <v>94</v>
      </c>
      <c r="T128">
        <v>770</v>
      </c>
      <c r="U128">
        <v>64.17</v>
      </c>
      <c r="V128">
        <v>5.56</v>
      </c>
      <c r="W128">
        <v>10.99</v>
      </c>
      <c r="X128">
        <v>153.9</v>
      </c>
      <c r="Y128">
        <v>6.51</v>
      </c>
      <c r="Z128">
        <v>11.08</v>
      </c>
      <c r="AA128">
        <v>206.8</v>
      </c>
      <c r="AB128">
        <v>54</v>
      </c>
      <c r="AC128">
        <v>430</v>
      </c>
      <c r="AD128">
        <v>1715</v>
      </c>
      <c r="AE128">
        <v>3.99</v>
      </c>
      <c r="AF128">
        <v>23</v>
      </c>
      <c r="AG128">
        <v>142.9</v>
      </c>
      <c r="AH128">
        <v>95</v>
      </c>
      <c r="AI128">
        <v>431</v>
      </c>
      <c r="AJ128">
        <v>1538</v>
      </c>
      <c r="AK128">
        <v>3.57</v>
      </c>
      <c r="AL128">
        <v>128.19999999999999</v>
      </c>
      <c r="AM128">
        <v>45</v>
      </c>
      <c r="AN128">
        <v>12</v>
      </c>
      <c r="AO128">
        <v>25</v>
      </c>
      <c r="AP128">
        <v>12</v>
      </c>
      <c r="AQ128">
        <v>26</v>
      </c>
      <c r="AR128">
        <v>175</v>
      </c>
      <c r="AS128">
        <v>2.17</v>
      </c>
      <c r="AT128">
        <v>250</v>
      </c>
      <c r="AU128">
        <v>65</v>
      </c>
      <c r="AV128">
        <v>5.4</v>
      </c>
      <c r="AW128">
        <v>14</v>
      </c>
      <c r="AX128">
        <v>20</v>
      </c>
      <c r="AY128">
        <f t="shared" si="2"/>
        <v>-6</v>
      </c>
      <c r="AZ128">
        <f>AY128/B128</f>
        <v>-0.5</v>
      </c>
    </row>
    <row r="129" spans="1:52">
      <c r="A129" t="s">
        <v>179</v>
      </c>
      <c r="B129">
        <v>12</v>
      </c>
      <c r="C129" s="2">
        <v>1</v>
      </c>
      <c r="D129" s="2">
        <v>11</v>
      </c>
      <c r="E129" s="2">
        <f t="shared" si="3"/>
        <v>8.3333333333333329E-2</v>
      </c>
      <c r="F129">
        <v>185</v>
      </c>
      <c r="G129">
        <v>15.4</v>
      </c>
      <c r="H129">
        <v>534</v>
      </c>
      <c r="I129">
        <v>44.5</v>
      </c>
      <c r="J129">
        <v>3375</v>
      </c>
      <c r="K129">
        <v>4.5199999999999996</v>
      </c>
      <c r="L129">
        <v>21</v>
      </c>
      <c r="M129">
        <v>281.2</v>
      </c>
      <c r="N129">
        <v>6117</v>
      </c>
      <c r="O129">
        <v>7.2</v>
      </c>
      <c r="P129">
        <v>70</v>
      </c>
      <c r="Q129">
        <v>72</v>
      </c>
      <c r="R129">
        <v>509.8</v>
      </c>
      <c r="S129">
        <v>64</v>
      </c>
      <c r="T129">
        <v>579</v>
      </c>
      <c r="U129">
        <v>48.25</v>
      </c>
      <c r="V129">
        <v>5.76</v>
      </c>
      <c r="W129">
        <v>11.59</v>
      </c>
      <c r="X129">
        <v>172.9</v>
      </c>
      <c r="Y129">
        <v>8.6999999999999993</v>
      </c>
      <c r="Z129">
        <v>12.96</v>
      </c>
      <c r="AA129">
        <v>264.7</v>
      </c>
      <c r="AB129">
        <v>131</v>
      </c>
      <c r="AC129">
        <v>485</v>
      </c>
      <c r="AD129">
        <v>2941</v>
      </c>
      <c r="AE129">
        <v>6.06</v>
      </c>
      <c r="AF129">
        <v>39</v>
      </c>
      <c r="AG129">
        <v>245.1</v>
      </c>
      <c r="AH129">
        <v>115</v>
      </c>
      <c r="AI129">
        <v>387</v>
      </c>
      <c r="AJ129">
        <v>1300</v>
      </c>
      <c r="AK129">
        <v>3.36</v>
      </c>
      <c r="AL129">
        <v>108.3</v>
      </c>
      <c r="AM129">
        <v>72</v>
      </c>
      <c r="AN129">
        <v>9</v>
      </c>
      <c r="AO129">
        <v>22</v>
      </c>
      <c r="AP129">
        <v>11</v>
      </c>
      <c r="AQ129">
        <v>23</v>
      </c>
      <c r="AR129">
        <v>175</v>
      </c>
      <c r="AS129">
        <v>1.92</v>
      </c>
      <c r="AT129">
        <v>166</v>
      </c>
      <c r="AU129">
        <v>49</v>
      </c>
      <c r="AV129">
        <v>4.0999999999999996</v>
      </c>
      <c r="AW129">
        <v>11</v>
      </c>
      <c r="AX129">
        <v>22</v>
      </c>
      <c r="AY129">
        <f t="shared" si="2"/>
        <v>-11</v>
      </c>
      <c r="AZ129">
        <f>AY129/B129</f>
        <v>-0.91666666666666663</v>
      </c>
    </row>
    <row r="130" spans="1:52">
      <c r="A130" t="s">
        <v>180</v>
      </c>
      <c r="B130">
        <v>12</v>
      </c>
      <c r="C130" s="2">
        <v>1</v>
      </c>
      <c r="D130" s="2">
        <v>11</v>
      </c>
      <c r="E130" s="2">
        <f t="shared" si="3"/>
        <v>8.3333333333333329E-2</v>
      </c>
      <c r="F130">
        <v>150</v>
      </c>
      <c r="G130">
        <v>12.5</v>
      </c>
      <c r="H130">
        <v>373</v>
      </c>
      <c r="I130">
        <v>31.1</v>
      </c>
      <c r="J130">
        <v>3189</v>
      </c>
      <c r="K130">
        <v>4</v>
      </c>
      <c r="L130">
        <v>14</v>
      </c>
      <c r="M130">
        <v>265.8</v>
      </c>
      <c r="N130">
        <v>4435</v>
      </c>
      <c r="O130">
        <v>6.07</v>
      </c>
      <c r="P130">
        <v>46</v>
      </c>
      <c r="Q130">
        <v>48</v>
      </c>
      <c r="R130">
        <v>369.6</v>
      </c>
      <c r="S130">
        <v>91</v>
      </c>
      <c r="T130">
        <v>800</v>
      </c>
      <c r="U130">
        <v>66.67</v>
      </c>
      <c r="V130">
        <v>5.0599999999999996</v>
      </c>
      <c r="W130">
        <v>10.32</v>
      </c>
      <c r="X130">
        <v>116.9</v>
      </c>
      <c r="Y130">
        <v>7.94</v>
      </c>
      <c r="Z130">
        <v>14.71</v>
      </c>
      <c r="AA130">
        <v>175.2</v>
      </c>
      <c r="AB130">
        <v>114</v>
      </c>
      <c r="AC130">
        <v>466</v>
      </c>
      <c r="AD130">
        <v>2332</v>
      </c>
      <c r="AE130">
        <v>5</v>
      </c>
      <c r="AF130">
        <v>29</v>
      </c>
      <c r="AG130">
        <v>194.3</v>
      </c>
      <c r="AH130">
        <v>68</v>
      </c>
      <c r="AI130">
        <v>520</v>
      </c>
      <c r="AJ130">
        <v>1786</v>
      </c>
      <c r="AK130">
        <v>3.43</v>
      </c>
      <c r="AL130">
        <v>148.80000000000001</v>
      </c>
      <c r="AM130">
        <v>48</v>
      </c>
      <c r="AN130">
        <v>13</v>
      </c>
      <c r="AO130">
        <v>16</v>
      </c>
      <c r="AP130">
        <v>13</v>
      </c>
      <c r="AQ130">
        <v>25</v>
      </c>
      <c r="AR130">
        <v>169</v>
      </c>
      <c r="AS130">
        <v>2.08</v>
      </c>
      <c r="AT130">
        <v>223</v>
      </c>
      <c r="AU130">
        <v>72</v>
      </c>
      <c r="AV130">
        <v>6</v>
      </c>
      <c r="AW130">
        <v>17</v>
      </c>
      <c r="AX130">
        <v>20</v>
      </c>
      <c r="AY130">
        <f t="shared" si="2"/>
        <v>-3</v>
      </c>
      <c r="AZ130">
        <f>AY130/B130</f>
        <v>-0.25</v>
      </c>
    </row>
    <row r="131" spans="1:52">
      <c r="A131" t="s">
        <v>181</v>
      </c>
      <c r="B131">
        <v>13</v>
      </c>
      <c r="C131" s="2">
        <v>8</v>
      </c>
      <c r="D131" s="2">
        <v>5</v>
      </c>
      <c r="E131" s="2">
        <f t="shared" si="3"/>
        <v>0.61538461538461542</v>
      </c>
      <c r="F131">
        <v>230</v>
      </c>
      <c r="G131">
        <v>17.7</v>
      </c>
      <c r="H131">
        <v>173</v>
      </c>
      <c r="I131">
        <v>13.3</v>
      </c>
      <c r="J131">
        <v>3271</v>
      </c>
      <c r="K131">
        <v>4.24</v>
      </c>
      <c r="L131">
        <v>19</v>
      </c>
      <c r="M131">
        <v>251.6</v>
      </c>
      <c r="N131">
        <v>3520</v>
      </c>
      <c r="O131">
        <v>3.99</v>
      </c>
      <c r="P131">
        <v>17</v>
      </c>
      <c r="Q131">
        <v>18</v>
      </c>
      <c r="R131">
        <v>270.8</v>
      </c>
      <c r="S131">
        <v>53</v>
      </c>
      <c r="T131">
        <v>425</v>
      </c>
      <c r="U131">
        <v>32.69</v>
      </c>
      <c r="V131">
        <v>5.84</v>
      </c>
      <c r="W131">
        <v>10.61</v>
      </c>
      <c r="X131">
        <v>156.69999999999999</v>
      </c>
      <c r="Y131">
        <v>5.27</v>
      </c>
      <c r="Z131">
        <v>8.99</v>
      </c>
      <c r="AA131">
        <v>169.5</v>
      </c>
      <c r="AB131">
        <v>12</v>
      </c>
      <c r="AC131">
        <v>465</v>
      </c>
      <c r="AD131">
        <v>1317</v>
      </c>
      <c r="AE131">
        <v>2.83</v>
      </c>
      <c r="AF131">
        <v>4</v>
      </c>
      <c r="AG131">
        <v>101.3</v>
      </c>
      <c r="AH131">
        <v>124</v>
      </c>
      <c r="AI131">
        <v>423</v>
      </c>
      <c r="AJ131">
        <v>1234</v>
      </c>
      <c r="AK131">
        <v>2.92</v>
      </c>
      <c r="AL131">
        <v>94.9</v>
      </c>
      <c r="AM131">
        <v>18</v>
      </c>
      <c r="AN131">
        <v>16</v>
      </c>
      <c r="AO131">
        <v>25</v>
      </c>
      <c r="AP131">
        <v>17</v>
      </c>
      <c r="AQ131">
        <v>38</v>
      </c>
      <c r="AR131">
        <v>277</v>
      </c>
      <c r="AS131">
        <v>2.92</v>
      </c>
      <c r="AT131">
        <v>376</v>
      </c>
      <c r="AU131">
        <v>87</v>
      </c>
      <c r="AV131">
        <v>6.7</v>
      </c>
      <c r="AW131">
        <v>23</v>
      </c>
      <c r="AX131">
        <v>17</v>
      </c>
      <c r="AY131">
        <f t="shared" ref="AY131:AY132" si="4">AW131-AX131</f>
        <v>6</v>
      </c>
      <c r="AZ131">
        <f>AY131/B131</f>
        <v>0.46153846153846156</v>
      </c>
    </row>
    <row r="132" spans="1:52">
      <c r="A132" t="s">
        <v>182</v>
      </c>
      <c r="B132">
        <v>12</v>
      </c>
      <c r="C132" s="2">
        <v>2</v>
      </c>
      <c r="D132" s="2">
        <v>10</v>
      </c>
      <c r="E132" s="2">
        <f t="shared" ref="E132" si="5">C132/B132</f>
        <v>0.16666666666666666</v>
      </c>
      <c r="F132">
        <v>157</v>
      </c>
      <c r="G132">
        <v>13.1</v>
      </c>
      <c r="H132">
        <v>312</v>
      </c>
      <c r="I132">
        <v>26</v>
      </c>
      <c r="J132">
        <v>2737</v>
      </c>
      <c r="K132">
        <v>3.94</v>
      </c>
      <c r="L132">
        <v>15</v>
      </c>
      <c r="M132">
        <v>228.1</v>
      </c>
      <c r="N132">
        <v>4322</v>
      </c>
      <c r="O132">
        <v>5.54</v>
      </c>
      <c r="P132">
        <v>34</v>
      </c>
      <c r="Q132">
        <v>38</v>
      </c>
      <c r="R132">
        <v>360.2</v>
      </c>
      <c r="S132">
        <v>73</v>
      </c>
      <c r="T132">
        <v>614</v>
      </c>
      <c r="U132">
        <v>51.17</v>
      </c>
      <c r="V132">
        <v>4.9400000000000004</v>
      </c>
      <c r="W132">
        <v>9.19</v>
      </c>
      <c r="X132">
        <v>104.9</v>
      </c>
      <c r="Y132">
        <v>7.6</v>
      </c>
      <c r="Z132">
        <v>12.48</v>
      </c>
      <c r="AA132">
        <v>202.8</v>
      </c>
      <c r="AB132">
        <v>76</v>
      </c>
      <c r="AC132">
        <v>460</v>
      </c>
      <c r="AD132">
        <v>1889</v>
      </c>
      <c r="AE132">
        <v>4.1100000000000003</v>
      </c>
      <c r="AF132">
        <v>19</v>
      </c>
      <c r="AG132">
        <v>157.4</v>
      </c>
      <c r="AH132">
        <v>101</v>
      </c>
      <c r="AI132">
        <v>439</v>
      </c>
      <c r="AJ132">
        <v>1478</v>
      </c>
      <c r="AK132">
        <v>3.37</v>
      </c>
      <c r="AL132">
        <v>123.2</v>
      </c>
      <c r="AM132">
        <v>38</v>
      </c>
      <c r="AN132">
        <v>15</v>
      </c>
      <c r="AO132">
        <v>17</v>
      </c>
      <c r="AP132">
        <v>13</v>
      </c>
      <c r="AQ132">
        <v>43</v>
      </c>
      <c r="AR132">
        <v>250</v>
      </c>
      <c r="AS132">
        <v>3.58</v>
      </c>
      <c r="AT132">
        <v>252</v>
      </c>
      <c r="AU132">
        <v>62</v>
      </c>
      <c r="AV132">
        <v>5.2</v>
      </c>
      <c r="AW132">
        <v>18</v>
      </c>
      <c r="AX132">
        <v>14</v>
      </c>
      <c r="AY132">
        <f t="shared" si="4"/>
        <v>4</v>
      </c>
      <c r="AZ132">
        <f>AY132/B132</f>
        <v>0.33333333333333331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Rau, Zachary C.</dc:creator>
  <cp:keywords/>
  <dc:description/>
  <cp:lastModifiedBy/>
  <cp:revision/>
  <dcterms:created xsi:type="dcterms:W3CDTF">2023-10-26T14:57:21Z</dcterms:created>
  <dcterms:modified xsi:type="dcterms:W3CDTF">2023-12-05T16:58:22Z</dcterms:modified>
  <cp:category/>
  <cp:contentStatus/>
</cp:coreProperties>
</file>